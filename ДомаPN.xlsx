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sultan.Karassarto\Desktop\Свои личные\Т\Price NEW\"/>
    </mc:Choice>
  </mc:AlternateContent>
  <bookViews>
    <workbookView xWindow="-105" yWindow="-105" windowWidth="23250" windowHeight="12450" activeTab="2"/>
  </bookViews>
  <sheets>
    <sheet name="ДОФ-1" sheetId="6" r:id="rId1"/>
    <sheet name="ФООР" sheetId="7" r:id="rId2"/>
    <sheet name="Лист2" sheetId="9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7" l="1"/>
  <c r="H46" i="7"/>
  <c r="I46" i="7"/>
  <c r="R33" i="9" l="1"/>
  <c r="N33" i="9"/>
  <c r="R32" i="9"/>
  <c r="N32" i="9"/>
  <c r="R31" i="9"/>
  <c r="N31" i="9"/>
  <c r="N29" i="9"/>
  <c r="R27" i="9"/>
  <c r="N27" i="9"/>
  <c r="R24" i="9"/>
  <c r="N25" i="9"/>
  <c r="N24" i="9"/>
  <c r="R22" i="9"/>
  <c r="R15" i="9"/>
  <c r="R14" i="9"/>
  <c r="N15" i="9"/>
  <c r="R9" i="9"/>
  <c r="R6" i="9"/>
  <c r="R5" i="9"/>
  <c r="J11" i="9"/>
  <c r="R11" i="9" s="1"/>
  <c r="I11" i="9"/>
  <c r="N11" i="9" s="1"/>
  <c r="J15" i="9"/>
  <c r="I15" i="9"/>
  <c r="J14" i="9"/>
  <c r="I14" i="9"/>
  <c r="G14" i="9" s="1"/>
  <c r="J19" i="9"/>
  <c r="I19" i="9"/>
  <c r="N19" i="9" s="1"/>
  <c r="J18" i="9"/>
  <c r="R18" i="9" s="1"/>
  <c r="I18" i="9"/>
  <c r="N18" i="9" s="1"/>
  <c r="J22" i="9"/>
  <c r="I22" i="9"/>
  <c r="N22" i="9" s="1"/>
  <c r="J25" i="9"/>
  <c r="I25" i="9"/>
  <c r="J24" i="9"/>
  <c r="G24" i="9" s="1"/>
  <c r="I24" i="9"/>
  <c r="J27" i="9"/>
  <c r="I27" i="9"/>
  <c r="J29" i="9"/>
  <c r="R29" i="9" s="1"/>
  <c r="I29" i="9"/>
  <c r="J33" i="9"/>
  <c r="I33" i="9"/>
  <c r="J32" i="9"/>
  <c r="I32" i="9"/>
  <c r="J31" i="9"/>
  <c r="I31" i="9"/>
  <c r="J12" i="9"/>
  <c r="R12" i="9" s="1"/>
  <c r="I12" i="9"/>
  <c r="N12" i="9" s="1"/>
  <c r="J9" i="9"/>
  <c r="I9" i="9"/>
  <c r="J8" i="9"/>
  <c r="R8" i="9" s="1"/>
  <c r="I8" i="9"/>
  <c r="N8" i="9" s="1"/>
  <c r="J6" i="9"/>
  <c r="I6" i="9"/>
  <c r="N6" i="9" s="1"/>
  <c r="J5" i="9"/>
  <c r="I5" i="9"/>
  <c r="N5" i="9" s="1"/>
  <c r="J4" i="9"/>
  <c r="I4" i="9"/>
  <c r="N4" i="9" s="1"/>
  <c r="G32" i="9"/>
  <c r="G31" i="9"/>
  <c r="G29" i="9"/>
  <c r="G33" i="9"/>
  <c r="G27" i="9"/>
  <c r="G21" i="9"/>
  <c r="G17" i="9"/>
  <c r="E14" i="9"/>
  <c r="D14" i="9"/>
  <c r="B5" i="9"/>
  <c r="B6" i="9"/>
  <c r="B7" i="9"/>
  <c r="B8" i="9"/>
  <c r="B9" i="9"/>
  <c r="B10" i="9"/>
  <c r="B11" i="9"/>
  <c r="B12" i="9"/>
  <c r="B13" i="9"/>
  <c r="B4" i="9"/>
  <c r="E2" i="9"/>
  <c r="I39" i="7"/>
  <c r="I40" i="7"/>
  <c r="I41" i="7"/>
  <c r="I42" i="7"/>
  <c r="I43" i="7"/>
  <c r="I44" i="7"/>
  <c r="I45" i="7"/>
  <c r="H39" i="7"/>
  <c r="H40" i="7"/>
  <c r="H41" i="7"/>
  <c r="H42" i="7"/>
  <c r="H43" i="7"/>
  <c r="H44" i="7"/>
  <c r="H45" i="7"/>
  <c r="G39" i="7"/>
  <c r="G40" i="7"/>
  <c r="G41" i="7"/>
  <c r="G42" i="7"/>
  <c r="G43" i="7"/>
  <c r="G44" i="7"/>
  <c r="G45" i="7"/>
  <c r="I38" i="7"/>
  <c r="H38" i="7"/>
  <c r="G38" i="7"/>
  <c r="G6" i="9" l="1"/>
  <c r="G9" i="9"/>
  <c r="N14" i="9"/>
  <c r="G15" i="9"/>
  <c r="G22" i="9"/>
  <c r="G5" i="9"/>
  <c r="G4" i="9"/>
  <c r="G19" i="9"/>
  <c r="N9" i="9"/>
  <c r="R4" i="9"/>
  <c r="R19" i="9"/>
  <c r="G18" i="9"/>
  <c r="I34" i="9"/>
  <c r="J34" i="9"/>
  <c r="E15" i="9"/>
  <c r="R25" i="9"/>
  <c r="G25" i="9"/>
  <c r="G12" i="9"/>
  <c r="G8" i="9"/>
  <c r="D15" i="9"/>
  <c r="G11" i="9"/>
  <c r="B14" i="9"/>
  <c r="M3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K15" i="7"/>
  <c r="M5" i="7"/>
  <c r="M6" i="7"/>
  <c r="G35" i="7"/>
  <c r="H35" i="7"/>
  <c r="I35" i="7"/>
  <c r="G34" i="7"/>
  <c r="H34" i="7"/>
  <c r="I34" i="7"/>
  <c r="B15" i="9" l="1"/>
  <c r="G34" i="9"/>
  <c r="I29" i="6"/>
  <c r="Q29" i="6" s="1"/>
  <c r="H29" i="6"/>
  <c r="G29" i="6"/>
  <c r="I28" i="6"/>
  <c r="Q28" i="6" s="1"/>
  <c r="H28" i="6"/>
  <c r="G28" i="6"/>
  <c r="I27" i="6"/>
  <c r="Q27" i="6" s="1"/>
  <c r="H27" i="6"/>
  <c r="G27" i="6"/>
  <c r="I26" i="6"/>
  <c r="Q26" i="6" s="1"/>
  <c r="H26" i="6"/>
  <c r="G26" i="6"/>
  <c r="I25" i="6"/>
  <c r="Q25" i="6" s="1"/>
  <c r="H25" i="6"/>
  <c r="G25" i="6"/>
  <c r="I24" i="6"/>
  <c r="Q24" i="6" s="1"/>
  <c r="H24" i="6"/>
  <c r="G24" i="6"/>
  <c r="J36" i="7"/>
  <c r="M35" i="7"/>
  <c r="K35" i="7"/>
  <c r="Q35" i="7"/>
  <c r="M34" i="7"/>
  <c r="K34" i="7"/>
  <c r="Q34" i="7"/>
  <c r="M33" i="7"/>
  <c r="K33" i="7"/>
  <c r="I33" i="7"/>
  <c r="Q33" i="7" s="1"/>
  <c r="H33" i="7"/>
  <c r="G33" i="7"/>
  <c r="M32" i="7"/>
  <c r="K32" i="7"/>
  <c r="I32" i="7"/>
  <c r="Q32" i="7" s="1"/>
  <c r="H32" i="7"/>
  <c r="G32" i="7"/>
  <c r="M31" i="7"/>
  <c r="K31" i="7"/>
  <c r="I31" i="7"/>
  <c r="Q31" i="7" s="1"/>
  <c r="H31" i="7"/>
  <c r="G31" i="7"/>
  <c r="M30" i="7"/>
  <c r="K30" i="7"/>
  <c r="I30" i="7"/>
  <c r="Q30" i="7" s="1"/>
  <c r="H30" i="7"/>
  <c r="G30" i="7"/>
  <c r="M29" i="7"/>
  <c r="K29" i="7"/>
  <c r="I29" i="7"/>
  <c r="Q29" i="7" s="1"/>
  <c r="H29" i="7"/>
  <c r="G29" i="7"/>
  <c r="M28" i="7"/>
  <c r="K28" i="7"/>
  <c r="I28" i="7"/>
  <c r="Q28" i="7" s="1"/>
  <c r="H28" i="7"/>
  <c r="G28" i="7"/>
  <c r="M27" i="7"/>
  <c r="K27" i="7"/>
  <c r="I27" i="7"/>
  <c r="Q27" i="7" s="1"/>
  <c r="H27" i="7"/>
  <c r="G27" i="7"/>
  <c r="M26" i="7"/>
  <c r="K26" i="7"/>
  <c r="I26" i="7"/>
  <c r="Q26" i="7" s="1"/>
  <c r="H26" i="7"/>
  <c r="G26" i="7"/>
  <c r="M25" i="7"/>
  <c r="K25" i="7"/>
  <c r="I25" i="7"/>
  <c r="Q25" i="7" s="1"/>
  <c r="H25" i="7"/>
  <c r="G25" i="7"/>
  <c r="M24" i="7"/>
  <c r="K24" i="7"/>
  <c r="I24" i="7"/>
  <c r="Q24" i="7" s="1"/>
  <c r="H24" i="7"/>
  <c r="G24" i="7"/>
  <c r="M23" i="7"/>
  <c r="O23" i="7" s="1"/>
  <c r="K23" i="7"/>
  <c r="I23" i="7"/>
  <c r="Q23" i="7" s="1"/>
  <c r="H23" i="7"/>
  <c r="G23" i="7"/>
  <c r="M22" i="7"/>
  <c r="O22" i="7" s="1"/>
  <c r="K22" i="7"/>
  <c r="I22" i="7"/>
  <c r="H22" i="7"/>
  <c r="G22" i="7"/>
  <c r="Q21" i="7"/>
  <c r="M21" i="7"/>
  <c r="K21" i="7"/>
  <c r="H21" i="7"/>
  <c r="G21" i="7"/>
  <c r="Q20" i="7"/>
  <c r="M20" i="7"/>
  <c r="K20" i="7"/>
  <c r="H20" i="7"/>
  <c r="G20" i="7"/>
  <c r="Q19" i="7"/>
  <c r="M19" i="7"/>
  <c r="O19" i="7" s="1"/>
  <c r="K19" i="7"/>
  <c r="H19" i="7"/>
  <c r="G19" i="7"/>
  <c r="M18" i="7"/>
  <c r="K18" i="7"/>
  <c r="Q18" i="7"/>
  <c r="H18" i="7"/>
  <c r="G18" i="7"/>
  <c r="M17" i="7"/>
  <c r="K17" i="7"/>
  <c r="Q17" i="7"/>
  <c r="H17" i="7"/>
  <c r="G17" i="7"/>
  <c r="Q16" i="7"/>
  <c r="M16" i="7"/>
  <c r="K16" i="7"/>
  <c r="H16" i="7"/>
  <c r="G16" i="7"/>
  <c r="M15" i="7"/>
  <c r="Q15" i="7"/>
  <c r="H15" i="7"/>
  <c r="G15" i="7"/>
  <c r="M14" i="7"/>
  <c r="K14" i="7"/>
  <c r="Q14" i="7"/>
  <c r="H14" i="7"/>
  <c r="G14" i="7"/>
  <c r="M13" i="7"/>
  <c r="K13" i="7"/>
  <c r="Q13" i="7"/>
  <c r="H13" i="7"/>
  <c r="G13" i="7"/>
  <c r="M12" i="7"/>
  <c r="K12" i="7"/>
  <c r="Q12" i="7"/>
  <c r="H12" i="7"/>
  <c r="G12" i="7"/>
  <c r="M11" i="7"/>
  <c r="K11" i="7"/>
  <c r="Q11" i="7"/>
  <c r="H11" i="7"/>
  <c r="G11" i="7"/>
  <c r="M10" i="7"/>
  <c r="K10" i="7"/>
  <c r="Q10" i="7"/>
  <c r="H10" i="7"/>
  <c r="G10" i="7"/>
  <c r="M9" i="7"/>
  <c r="K9" i="7"/>
  <c r="Q9" i="7"/>
  <c r="H9" i="7"/>
  <c r="G9" i="7"/>
  <c r="Q8" i="7"/>
  <c r="M8" i="7"/>
  <c r="K8" i="7"/>
  <c r="H8" i="7"/>
  <c r="G8" i="7"/>
  <c r="M7" i="7"/>
  <c r="K7" i="7"/>
  <c r="Q7" i="7"/>
  <c r="H7" i="7"/>
  <c r="G7" i="7"/>
  <c r="K6" i="7"/>
  <c r="Q6" i="7"/>
  <c r="H6" i="7"/>
  <c r="G6" i="7"/>
  <c r="Q5" i="7"/>
  <c r="K5" i="7"/>
  <c r="O5" i="7" s="1"/>
  <c r="H5" i="7"/>
  <c r="G5" i="7"/>
  <c r="Q4" i="7"/>
  <c r="M4" i="7"/>
  <c r="O4" i="7" s="1"/>
  <c r="K4" i="7"/>
  <c r="H4" i="7"/>
  <c r="G4" i="7"/>
  <c r="Q3" i="7"/>
  <c r="K3" i="7"/>
  <c r="H3" i="7"/>
  <c r="G3" i="7"/>
  <c r="J36" i="6"/>
  <c r="G9" i="6"/>
  <c r="H9" i="6"/>
  <c r="I9" i="6"/>
  <c r="Q9" i="6" s="1"/>
  <c r="G8" i="6"/>
  <c r="H8" i="6"/>
  <c r="I8" i="6"/>
  <c r="Q8" i="6" s="1"/>
  <c r="I13" i="6"/>
  <c r="Q13" i="6" s="1"/>
  <c r="H13" i="6"/>
  <c r="G13" i="6"/>
  <c r="M6" i="6"/>
  <c r="K6" i="6"/>
  <c r="G16" i="6"/>
  <c r="H16" i="6"/>
  <c r="I16" i="6"/>
  <c r="Q16" i="6" s="1"/>
  <c r="G15" i="6"/>
  <c r="H15" i="6"/>
  <c r="I15" i="6"/>
  <c r="Q15" i="6" s="1"/>
  <c r="I12" i="6"/>
  <c r="Q12" i="6" s="1"/>
  <c r="H12" i="6"/>
  <c r="G12" i="6"/>
  <c r="I6" i="6"/>
  <c r="Q6" i="6" s="1"/>
  <c r="H6" i="6"/>
  <c r="G6" i="6"/>
  <c r="M11" i="6"/>
  <c r="K11" i="6"/>
  <c r="M10" i="6"/>
  <c r="K10" i="6"/>
  <c r="M9" i="6"/>
  <c r="K9" i="6"/>
  <c r="M8" i="6"/>
  <c r="O8" i="6" s="1"/>
  <c r="K8" i="6"/>
  <c r="M7" i="6"/>
  <c r="K7" i="6"/>
  <c r="M17" i="6"/>
  <c r="K17" i="6"/>
  <c r="M16" i="6"/>
  <c r="K16" i="6"/>
  <c r="M15" i="6"/>
  <c r="K15" i="6"/>
  <c r="M14" i="6"/>
  <c r="K14" i="6"/>
  <c r="M13" i="6"/>
  <c r="K13" i="6"/>
  <c r="M12" i="6"/>
  <c r="K12" i="6"/>
  <c r="M23" i="6"/>
  <c r="K23" i="6"/>
  <c r="M22" i="6"/>
  <c r="K22" i="6"/>
  <c r="M21" i="6"/>
  <c r="K21" i="6"/>
  <c r="M20" i="6"/>
  <c r="K20" i="6"/>
  <c r="M19" i="6"/>
  <c r="K19" i="6"/>
  <c r="M18" i="6"/>
  <c r="K18" i="6"/>
  <c r="M29" i="6"/>
  <c r="K29" i="6"/>
  <c r="M28" i="6"/>
  <c r="K28" i="6"/>
  <c r="M27" i="6"/>
  <c r="K27" i="6"/>
  <c r="M26" i="6"/>
  <c r="K26" i="6"/>
  <c r="M25" i="6"/>
  <c r="K25" i="6"/>
  <c r="M24" i="6"/>
  <c r="K24" i="6"/>
  <c r="I21" i="6"/>
  <c r="Q21" i="6" s="1"/>
  <c r="H21" i="6"/>
  <c r="G21" i="6"/>
  <c r="I20" i="6"/>
  <c r="H20" i="6"/>
  <c r="G20" i="6"/>
  <c r="I23" i="6"/>
  <c r="Q23" i="6" s="1"/>
  <c r="H23" i="6"/>
  <c r="G23" i="6"/>
  <c r="I22" i="6"/>
  <c r="Q22" i="6" s="1"/>
  <c r="H22" i="6"/>
  <c r="G22" i="6"/>
  <c r="M33" i="6"/>
  <c r="K33" i="6"/>
  <c r="M32" i="6"/>
  <c r="K32" i="6"/>
  <c r="M35" i="6"/>
  <c r="K35" i="6"/>
  <c r="M34" i="6"/>
  <c r="K34" i="6"/>
  <c r="M31" i="6"/>
  <c r="K31" i="6"/>
  <c r="M30" i="6"/>
  <c r="K30" i="6"/>
  <c r="L30" i="6" s="1"/>
  <c r="I31" i="6"/>
  <c r="Q31" i="6" s="1"/>
  <c r="I30" i="6"/>
  <c r="Q30" i="6" s="1"/>
  <c r="I34" i="6"/>
  <c r="Q34" i="6" s="1"/>
  <c r="H34" i="6"/>
  <c r="G34" i="6"/>
  <c r="H30" i="6"/>
  <c r="H31" i="6"/>
  <c r="G31" i="6"/>
  <c r="G30" i="6"/>
  <c r="I11" i="6"/>
  <c r="Q11" i="6" s="1"/>
  <c r="H11" i="6"/>
  <c r="G11" i="6"/>
  <c r="I10" i="6"/>
  <c r="Q10" i="6" s="1"/>
  <c r="H10" i="6"/>
  <c r="G10" i="6"/>
  <c r="M5" i="6"/>
  <c r="M4" i="6"/>
  <c r="M3" i="6"/>
  <c r="K5" i="6"/>
  <c r="K4" i="6"/>
  <c r="K3" i="6"/>
  <c r="I4" i="6"/>
  <c r="Q4" i="6" s="1"/>
  <c r="H4" i="6"/>
  <c r="G4" i="6"/>
  <c r="I35" i="6"/>
  <c r="Q35" i="6" s="1"/>
  <c r="H35" i="6"/>
  <c r="G35" i="6"/>
  <c r="I33" i="6"/>
  <c r="Q33" i="6" s="1"/>
  <c r="H33" i="6"/>
  <c r="G33" i="6"/>
  <c r="I32" i="6"/>
  <c r="Q32" i="6" s="1"/>
  <c r="H32" i="6"/>
  <c r="G32" i="6"/>
  <c r="I19" i="6"/>
  <c r="Q19" i="6" s="1"/>
  <c r="H19" i="6"/>
  <c r="G19" i="6"/>
  <c r="I18" i="6"/>
  <c r="Q18" i="6" s="1"/>
  <c r="H18" i="6"/>
  <c r="G18" i="6"/>
  <c r="I17" i="6"/>
  <c r="Q17" i="6" s="1"/>
  <c r="H17" i="6"/>
  <c r="G17" i="6"/>
  <c r="I14" i="6"/>
  <c r="Q14" i="6" s="1"/>
  <c r="H14" i="6"/>
  <c r="G14" i="6"/>
  <c r="I7" i="6"/>
  <c r="Q7" i="6" s="1"/>
  <c r="H7" i="6"/>
  <c r="G7" i="6"/>
  <c r="I5" i="6"/>
  <c r="Q5" i="6" s="1"/>
  <c r="H5" i="6"/>
  <c r="G5" i="6"/>
  <c r="I3" i="6"/>
  <c r="Q3" i="6" s="1"/>
  <c r="H3" i="6"/>
  <c r="G3" i="6"/>
  <c r="O21" i="7" l="1"/>
  <c r="O17" i="6"/>
  <c r="Q20" i="6"/>
  <c r="Q38" i="6" s="1"/>
  <c r="I38" i="6"/>
  <c r="N3" i="7"/>
  <c r="I36" i="7"/>
  <c r="O7" i="7"/>
  <c r="O20" i="7"/>
  <c r="O31" i="7"/>
  <c r="L3" i="6"/>
  <c r="O33" i="7"/>
  <c r="Q22" i="7"/>
  <c r="Q36" i="7" s="1"/>
  <c r="O30" i="7"/>
  <c r="O3" i="6"/>
  <c r="L3" i="7"/>
  <c r="O27" i="7"/>
  <c r="L18" i="7"/>
  <c r="L12" i="7"/>
  <c r="N18" i="7"/>
  <c r="O28" i="7"/>
  <c r="L24" i="7"/>
  <c r="O6" i="7"/>
  <c r="L6" i="7"/>
  <c r="O24" i="7"/>
  <c r="O25" i="7"/>
  <c r="O32" i="7"/>
  <c r="O3" i="7"/>
  <c r="P3" i="7" s="1"/>
  <c r="L30" i="7"/>
  <c r="O8" i="7"/>
  <c r="O13" i="7"/>
  <c r="O12" i="7"/>
  <c r="N6" i="7"/>
  <c r="O11" i="7"/>
  <c r="O14" i="7"/>
  <c r="N30" i="6"/>
  <c r="O9" i="7"/>
  <c r="O10" i="7"/>
  <c r="O15" i="7"/>
  <c r="O16" i="7"/>
  <c r="O17" i="7"/>
  <c r="O29" i="7"/>
  <c r="O26" i="7"/>
  <c r="O35" i="7"/>
  <c r="O34" i="7"/>
  <c r="O18" i="7"/>
  <c r="P18" i="7" s="1"/>
  <c r="N30" i="7"/>
  <c r="N12" i="7"/>
  <c r="N24" i="7"/>
  <c r="I36" i="6"/>
  <c r="N3" i="6"/>
  <c r="O18" i="6"/>
  <c r="N18" i="6"/>
  <c r="N24" i="6"/>
  <c r="L6" i="6"/>
  <c r="O9" i="6"/>
  <c r="O11" i="6"/>
  <c r="O10" i="6"/>
  <c r="O7" i="6"/>
  <c r="O6" i="6"/>
  <c r="O12" i="6"/>
  <c r="N12" i="6"/>
  <c r="N6" i="6"/>
  <c r="O15" i="6"/>
  <c r="O16" i="6"/>
  <c r="O14" i="6"/>
  <c r="L12" i="6"/>
  <c r="O13" i="6"/>
  <c r="L24" i="6"/>
  <c r="O29" i="6"/>
  <c r="L18" i="6"/>
  <c r="O4" i="6"/>
  <c r="O35" i="6"/>
  <c r="O19" i="6"/>
  <c r="O5" i="6"/>
  <c r="O31" i="6"/>
  <c r="O33" i="6"/>
  <c r="O21" i="6"/>
  <c r="O22" i="6"/>
  <c r="O32" i="6"/>
  <c r="O30" i="6"/>
  <c r="O24" i="6"/>
  <c r="O34" i="6"/>
  <c r="O28" i="6"/>
  <c r="O20" i="6"/>
  <c r="O25" i="6"/>
  <c r="O26" i="6"/>
  <c r="O27" i="6"/>
  <c r="O23" i="6"/>
  <c r="Q36" i="6" l="1"/>
  <c r="P30" i="7"/>
  <c r="P6" i="7"/>
  <c r="L36" i="7"/>
  <c r="P30" i="6"/>
  <c r="P12" i="7"/>
  <c r="P24" i="7"/>
  <c r="N36" i="7"/>
  <c r="P18" i="6"/>
  <c r="P24" i="6"/>
  <c r="P6" i="6"/>
  <c r="N36" i="6"/>
  <c r="L36" i="6"/>
  <c r="P3" i="6"/>
  <c r="P12" i="6"/>
  <c r="P36" i="7" l="1"/>
  <c r="P36" i="6"/>
</calcChain>
</file>

<file path=xl/sharedStrings.xml><?xml version="1.0" encoding="utf-8"?>
<sst xmlns="http://schemas.openxmlformats.org/spreadsheetml/2006/main" count="246" uniqueCount="58">
  <si>
    <t>№</t>
  </si>
  <si>
    <t>Сникерс мини</t>
  </si>
  <si>
    <t>Наименование</t>
  </si>
  <si>
    <t>Кола 0,5 пластик</t>
  </si>
  <si>
    <t>Альбени печеньки</t>
  </si>
  <si>
    <t>Орбит освеж.мята</t>
  </si>
  <si>
    <t>Кола 0,5 жестянка</t>
  </si>
  <si>
    <t>Твикс</t>
  </si>
  <si>
    <t>Баунти</t>
  </si>
  <si>
    <t>Пепси 0,33 жестянка</t>
  </si>
  <si>
    <t>Гранат 0,33</t>
  </si>
  <si>
    <t>Кириешки</t>
  </si>
  <si>
    <t>Позиция №</t>
  </si>
  <si>
    <t>Ряд №</t>
  </si>
  <si>
    <t>Биг бон</t>
  </si>
  <si>
    <t>Цена шт (закуп)</t>
  </si>
  <si>
    <t>Цена шт (продажа)</t>
  </si>
  <si>
    <t>Выгода в %</t>
  </si>
  <si>
    <t>Прибыль в тг</t>
  </si>
  <si>
    <t>Маржа %</t>
  </si>
  <si>
    <t>Гранат 0,33 жестянка</t>
  </si>
  <si>
    <t xml:space="preserve">Марс </t>
  </si>
  <si>
    <t>М&amp;М</t>
  </si>
  <si>
    <t>Milky way</t>
  </si>
  <si>
    <t>Кит кат</t>
  </si>
  <si>
    <t>Альбени</t>
  </si>
  <si>
    <t xml:space="preserve">Тук </t>
  </si>
  <si>
    <t>Можито</t>
  </si>
  <si>
    <t>Милки вей</t>
  </si>
  <si>
    <t>Кол-во в отсеке</t>
  </si>
  <si>
    <t>Общая стоимость (закуп)</t>
  </si>
  <si>
    <t>Общая стоимость (продажа)</t>
  </si>
  <si>
    <t>Общая прибыль</t>
  </si>
  <si>
    <t>Барни</t>
  </si>
  <si>
    <t>Зиги Заги мохито</t>
  </si>
  <si>
    <t>МакКофе</t>
  </si>
  <si>
    <t>МакТии</t>
  </si>
  <si>
    <t>Козинаки</t>
  </si>
  <si>
    <t>Влажные салфетки</t>
  </si>
  <si>
    <t>Ава</t>
  </si>
  <si>
    <t>Цена</t>
  </si>
  <si>
    <t>Пепси 0,33 высокая</t>
  </si>
  <si>
    <t>Альбени шоколадки</t>
  </si>
  <si>
    <t>Альбени шоколадка</t>
  </si>
  <si>
    <t>Зиги Заги мохто</t>
  </si>
  <si>
    <t>ДОФ-1</t>
  </si>
  <si>
    <t>ФООР</t>
  </si>
  <si>
    <t>Кол-во</t>
  </si>
  <si>
    <t>Кола 0,6 пластик</t>
  </si>
  <si>
    <t>Кола 0,45 жб</t>
  </si>
  <si>
    <t>Пепси 0,33</t>
  </si>
  <si>
    <t>Бигбон</t>
  </si>
  <si>
    <t>Осталось</t>
  </si>
  <si>
    <t>Для заполнения</t>
  </si>
  <si>
    <t>%</t>
  </si>
  <si>
    <t>из</t>
  </si>
  <si>
    <t>Джумка вафли</t>
  </si>
  <si>
    <t>до 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</si>
</sst>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₸-43F]"/>
  </numFmts>
  <fonts count="3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0" fontId="0" fillId="0" borderId="29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0" fontId="0" fillId="0" borderId="25" xfId="0" applyNumberFormat="1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10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20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164" fontId="0" fillId="5" borderId="29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164" fontId="0" fillId="3" borderId="3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5" borderId="17" xfId="0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164" fontId="0" fillId="5" borderId="6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7" borderId="1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164" fontId="0" fillId="4" borderId="6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2" borderId="1" xfId="0" applyFill="1" applyBorder="1"/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164" fontId="0" fillId="9" borderId="6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20" xfId="0" applyFill="1" applyBorder="1" applyAlignment="1">
      <alignment horizontal="left" vertical="center"/>
    </xf>
    <xf numFmtId="164" fontId="0" fillId="8" borderId="20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10" borderId="18" xfId="0" applyFill="1" applyBorder="1" applyAlignment="1">
      <alignment horizontal="center" vertical="center"/>
    </xf>
    <xf numFmtId="0" fontId="0" fillId="10" borderId="3" xfId="0" applyFill="1" applyBorder="1" applyAlignment="1">
      <alignment horizontal="left"/>
    </xf>
    <xf numFmtId="164" fontId="0" fillId="10" borderId="3" xfId="0" applyNumberForma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left"/>
    </xf>
    <xf numFmtId="0" fontId="0" fillId="10" borderId="19" xfId="0" applyFill="1" applyBorder="1" applyAlignment="1">
      <alignment horizontal="center" vertical="center"/>
    </xf>
    <xf numFmtId="0" fontId="0" fillId="10" borderId="6" xfId="0" applyFill="1" applyBorder="1" applyAlignment="1">
      <alignment horizontal="left"/>
    </xf>
    <xf numFmtId="164" fontId="0" fillId="10" borderId="6" xfId="0" applyNumberFormat="1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164" fontId="0" fillId="2" borderId="20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7" borderId="3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164" fontId="0" fillId="7" borderId="6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11" borderId="0" xfId="0" applyFill="1"/>
    <xf numFmtId="0" fontId="0" fillId="11" borderId="0" xfId="0" applyFill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 vertical="center"/>
    </xf>
    <xf numFmtId="10" fontId="0" fillId="11" borderId="26" xfId="0" applyNumberForma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2" borderId="26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0" fillId="4" borderId="26" xfId="0" applyNumberForma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3" borderId="26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6" borderId="33" xfId="0" applyFill="1" applyBorder="1" applyAlignment="1">
      <alignment horizontal="left" vertical="center"/>
    </xf>
    <xf numFmtId="164" fontId="0" fillId="6" borderId="33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164" fontId="0" fillId="2" borderId="29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/>
    <xf numFmtId="1" fontId="0" fillId="0" borderId="6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2" xfId="0" applyBorder="1"/>
    <xf numFmtId="1" fontId="0" fillId="0" borderId="42" xfId="0" applyNumberFormat="1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3" xfId="0" applyBorder="1"/>
    <xf numFmtId="1" fontId="0" fillId="0" borderId="3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0" fillId="0" borderId="20" xfId="0" applyBorder="1"/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33" xfId="0" applyBorder="1"/>
    <xf numFmtId="1" fontId="0" fillId="0" borderId="33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0" fillId="0" borderId="33" xfId="0" applyFill="1" applyBorder="1"/>
    <xf numFmtId="0" fontId="0" fillId="0" borderId="52" xfId="0" applyBorder="1"/>
    <xf numFmtId="0" fontId="0" fillId="0" borderId="8" xfId="0" applyBorder="1"/>
    <xf numFmtId="0" fontId="0" fillId="0" borderId="9" xfId="0" applyBorder="1"/>
    <xf numFmtId="0" fontId="0" fillId="0" borderId="4" xfId="0" applyNumberFormat="1" applyBorder="1" applyAlignment="1">
      <alignment horizontal="center" vertical="center"/>
    </xf>
    <xf numFmtId="0" fontId="0" fillId="0" borderId="35" xfId="0" applyNumberFormat="1" applyFill="1" applyBorder="1" applyAlignment="1">
      <alignment horizontal="center" vertical="center"/>
    </xf>
    <xf numFmtId="0" fontId="0" fillId="0" borderId="50" xfId="0" applyNumberFormat="1" applyFill="1" applyBorder="1" applyAlignment="1">
      <alignment horizontal="center" vertical="center"/>
    </xf>
    <xf numFmtId="0" fontId="0" fillId="0" borderId="50" xfId="0" applyNumberFormat="1" applyBorder="1" applyAlignment="1">
      <alignment horizontal="center" vertical="center"/>
    </xf>
    <xf numFmtId="0" fontId="0" fillId="0" borderId="51" xfId="0" applyNumberFormat="1" applyBorder="1" applyAlignment="1">
      <alignment horizontal="center" vertical="center"/>
    </xf>
    <xf numFmtId="1" fontId="0" fillId="0" borderId="41" xfId="0" applyNumberForma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1" fillId="0" borderId="42" xfId="0" applyNumberFormat="1" applyFont="1" applyBorder="1" applyAlignment="1">
      <alignment horizontal="center" vertical="center"/>
    </xf>
    <xf numFmtId="0" fontId="1" fillId="0" borderId="43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7" xfId="0" applyNumberFormat="1" applyFont="1" applyFill="1" applyBorder="1" applyAlignment="1">
      <alignment horizontal="center" vertical="center"/>
    </xf>
    <xf numFmtId="0" fontId="1" fillId="0" borderId="37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38" xfId="0" applyNumberFormat="1" applyFont="1" applyBorder="1" applyAlignment="1">
      <alignment horizontal="center" vertical="center"/>
    </xf>
    <xf numFmtId="0" fontId="1" fillId="0" borderId="4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38" xfId="0" applyNumberFormat="1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9" fontId="2" fillId="0" borderId="47" xfId="0" applyNumberFormat="1" applyFont="1" applyBorder="1" applyAlignment="1">
      <alignment horizontal="center" vertical="center"/>
    </xf>
    <xf numFmtId="9" fontId="2" fillId="0" borderId="48" xfId="0" applyNumberFormat="1" applyFont="1" applyBorder="1" applyAlignment="1">
      <alignment horizontal="center" vertical="center"/>
    </xf>
    <xf numFmtId="9" fontId="2" fillId="0" borderId="46" xfId="0" applyNumberFormat="1" applyFont="1" applyBorder="1" applyAlignment="1">
      <alignment horizontal="center" vertical="center"/>
    </xf>
    <xf numFmtId="9" fontId="2" fillId="0" borderId="49" xfId="0" applyNumberFormat="1" applyFont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" fontId="2" fillId="0" borderId="45" xfId="0" applyNumberFormat="1" applyFont="1" applyBorder="1"/>
    <xf numFmtId="1" fontId="2" fillId="0" borderId="41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10" fontId="0" fillId="11" borderId="20" xfId="0" applyNumberFormat="1" applyFill="1" applyBorder="1" applyAlignment="1">
      <alignment horizontal="center" vertical="center"/>
    </xf>
    <xf numFmtId="10" fontId="0" fillId="11" borderId="24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8"/>
  <sheetViews>
    <sheetView zoomScale="85" zoomScaleNormal="85" workbookViewId="0">
      <selection activeCell="U18" sqref="U18"/>
    </sheetView>
  </sheetViews>
  <sheetFormatPr defaultRowHeight="15" x14ac:dyDescent="0.25"/>
  <cols>
    <col min="2" max="2" width="4.42578125" customWidth="1"/>
    <col min="3" max="3" width="8.5703125" customWidth="1"/>
    <col min="4" max="4" width="20.85546875" bestFit="1" customWidth="1"/>
    <col min="5" max="5" width="9.7109375" customWidth="1"/>
    <col min="6" max="6" width="11.140625" customWidth="1"/>
    <col min="7" max="7" width="8.85546875" customWidth="1"/>
    <col min="8" max="8" width="11.140625" customWidth="1"/>
    <col min="9" max="9" width="9.7109375" bestFit="1" customWidth="1"/>
    <col min="11" max="11" width="16.7109375" customWidth="1"/>
    <col min="12" max="12" width="9.85546875" customWidth="1"/>
    <col min="13" max="13" width="16.7109375" customWidth="1"/>
    <col min="14" max="14" width="7.85546875" customWidth="1"/>
    <col min="15" max="15" width="10.28515625" customWidth="1"/>
    <col min="16" max="16" width="8.28515625" customWidth="1"/>
    <col min="18" max="18" width="5.28515625" customWidth="1"/>
    <col min="19" max="19" width="3.5703125" bestFit="1" customWidth="1"/>
    <col min="20" max="20" width="5.7109375" style="1" bestFit="1" customWidth="1"/>
    <col min="21" max="21" width="19.85546875" bestFit="1" customWidth="1"/>
    <col min="22" max="22" width="18.85546875" bestFit="1" customWidth="1"/>
    <col min="23" max="23" width="10.42578125" bestFit="1" customWidth="1"/>
    <col min="24" max="24" width="6.42578125" bestFit="1" customWidth="1"/>
  </cols>
  <sheetData>
    <row r="1" spans="2:25" ht="15.75" thickBot="1" x14ac:dyDescent="0.3"/>
    <row r="2" spans="2:25" ht="30.75" thickBot="1" x14ac:dyDescent="0.3">
      <c r="B2" s="7" t="s">
        <v>13</v>
      </c>
      <c r="C2" s="8" t="s">
        <v>12</v>
      </c>
      <c r="D2" s="3" t="s">
        <v>2</v>
      </c>
      <c r="E2" s="3" t="s">
        <v>15</v>
      </c>
      <c r="F2" s="3" t="s">
        <v>16</v>
      </c>
      <c r="G2" s="3" t="s">
        <v>17</v>
      </c>
      <c r="H2" s="3" t="s">
        <v>18</v>
      </c>
      <c r="I2" s="19" t="s">
        <v>19</v>
      </c>
      <c r="J2" s="35" t="s">
        <v>29</v>
      </c>
      <c r="K2" s="225" t="s">
        <v>30</v>
      </c>
      <c r="L2" s="226"/>
      <c r="M2" s="225" t="s">
        <v>31</v>
      </c>
      <c r="N2" s="226"/>
      <c r="O2" s="225" t="s">
        <v>32</v>
      </c>
      <c r="P2" s="226"/>
      <c r="R2" s="17"/>
      <c r="S2" s="6" t="s">
        <v>0</v>
      </c>
      <c r="T2" s="6" t="s">
        <v>40</v>
      </c>
      <c r="U2" s="6">
        <v>1</v>
      </c>
      <c r="V2" s="6">
        <v>2</v>
      </c>
      <c r="W2" s="6">
        <v>3</v>
      </c>
      <c r="X2" s="81"/>
      <c r="Y2" s="17"/>
    </row>
    <row r="3" spans="2:25" x14ac:dyDescent="0.25">
      <c r="B3" s="219">
        <v>1</v>
      </c>
      <c r="C3" s="57">
        <v>11</v>
      </c>
      <c r="D3" s="49" t="s">
        <v>14</v>
      </c>
      <c r="E3" s="45">
        <v>155</v>
      </c>
      <c r="F3" s="45">
        <v>300</v>
      </c>
      <c r="G3" s="10">
        <f>(F3-E3)/E3</f>
        <v>0.93548387096774188</v>
      </c>
      <c r="H3" s="9">
        <f>F3-E3</f>
        <v>145</v>
      </c>
      <c r="I3" s="20">
        <f>(F3-E3)/F3</f>
        <v>0.48333333333333334</v>
      </c>
      <c r="J3" s="24">
        <v>8</v>
      </c>
      <c r="K3" s="27">
        <f t="shared" ref="K3:K14" si="0">E3*J3</f>
        <v>1240</v>
      </c>
      <c r="L3" s="222">
        <f>SUM(K3:K5)</f>
        <v>4040</v>
      </c>
      <c r="M3" s="27">
        <f t="shared" ref="M3:M14" si="1">F3*J3</f>
        <v>2400</v>
      </c>
      <c r="N3" s="222">
        <f>SUM(M3:M5)</f>
        <v>7200</v>
      </c>
      <c r="O3" s="27">
        <f t="shared" ref="O3:O35" si="2">M3-K3</f>
        <v>1160</v>
      </c>
      <c r="P3" s="222">
        <f>SUM(O3:O5)</f>
        <v>3160</v>
      </c>
      <c r="Q3" s="33">
        <f>(I3*J3)</f>
        <v>3.8666666666666667</v>
      </c>
      <c r="R3" s="218"/>
      <c r="S3" s="39">
        <v>1</v>
      </c>
      <c r="T3" s="39">
        <v>180</v>
      </c>
      <c r="U3" s="86" t="s">
        <v>38</v>
      </c>
      <c r="V3" s="37" t="s">
        <v>36</v>
      </c>
      <c r="W3" s="37" t="s">
        <v>35</v>
      </c>
      <c r="X3" s="82"/>
      <c r="Y3" s="18"/>
    </row>
    <row r="4" spans="2:25" x14ac:dyDescent="0.25">
      <c r="B4" s="220"/>
      <c r="C4" s="58">
        <v>13</v>
      </c>
      <c r="D4" s="50" t="s">
        <v>11</v>
      </c>
      <c r="E4" s="40">
        <v>175</v>
      </c>
      <c r="F4" s="40">
        <v>300</v>
      </c>
      <c r="G4" s="14">
        <f t="shared" ref="G4" si="3">(F4-E4)/E4</f>
        <v>0.7142857142857143</v>
      </c>
      <c r="H4" s="13">
        <f t="shared" ref="H4" si="4">F4-E4</f>
        <v>125</v>
      </c>
      <c r="I4" s="21">
        <f t="shared" ref="I4" si="5">(F4-E4)/F4</f>
        <v>0.41666666666666669</v>
      </c>
      <c r="J4" s="25">
        <v>8</v>
      </c>
      <c r="K4" s="28">
        <f t="shared" si="0"/>
        <v>1400</v>
      </c>
      <c r="L4" s="223"/>
      <c r="M4" s="28">
        <f t="shared" si="1"/>
        <v>2400</v>
      </c>
      <c r="N4" s="223"/>
      <c r="O4" s="28">
        <f t="shared" si="2"/>
        <v>1000</v>
      </c>
      <c r="P4" s="223"/>
      <c r="Q4" s="33">
        <f>(I4*J4)</f>
        <v>3.3333333333333335</v>
      </c>
      <c r="R4" s="218"/>
      <c r="S4" s="95">
        <v>2</v>
      </c>
      <c r="T4" s="95">
        <v>250</v>
      </c>
      <c r="U4" s="96" t="s">
        <v>5</v>
      </c>
      <c r="V4" s="53"/>
      <c r="W4" s="91"/>
      <c r="X4" s="84"/>
      <c r="Y4" s="18"/>
    </row>
    <row r="5" spans="2:25" ht="15.75" thickBot="1" x14ac:dyDescent="0.3">
      <c r="B5" s="221"/>
      <c r="C5" s="59">
        <v>15</v>
      </c>
      <c r="D5" s="60" t="s">
        <v>11</v>
      </c>
      <c r="E5" s="61">
        <v>175</v>
      </c>
      <c r="F5" s="61">
        <v>300</v>
      </c>
      <c r="G5" s="16">
        <f t="shared" ref="G5" si="6">(F5-E5)/E5</f>
        <v>0.7142857142857143</v>
      </c>
      <c r="H5" s="15">
        <f t="shared" ref="H5" si="7">F5-E5</f>
        <v>125</v>
      </c>
      <c r="I5" s="22">
        <f t="shared" ref="I5" si="8">(F5-E5)/F5</f>
        <v>0.41666666666666669</v>
      </c>
      <c r="J5" s="26">
        <v>8</v>
      </c>
      <c r="K5" s="29">
        <f t="shared" si="0"/>
        <v>1400</v>
      </c>
      <c r="L5" s="224"/>
      <c r="M5" s="29">
        <f t="shared" si="1"/>
        <v>2400</v>
      </c>
      <c r="N5" s="224"/>
      <c r="O5" s="29">
        <f t="shared" si="2"/>
        <v>1000</v>
      </c>
      <c r="P5" s="224"/>
      <c r="Q5" s="33">
        <f t="shared" ref="Q5:Q35" si="9">(I5*J5)</f>
        <v>3.3333333333333335</v>
      </c>
      <c r="R5" s="218"/>
      <c r="S5" s="41">
        <v>2</v>
      </c>
      <c r="T5" s="41">
        <v>300</v>
      </c>
      <c r="U5" s="40" t="s">
        <v>14</v>
      </c>
      <c r="V5" s="40" t="s">
        <v>11</v>
      </c>
      <c r="W5" s="40" t="s">
        <v>11</v>
      </c>
      <c r="X5" s="82"/>
      <c r="Y5" s="18"/>
    </row>
    <row r="6" spans="2:25" x14ac:dyDescent="0.25">
      <c r="B6" s="219">
        <v>2</v>
      </c>
      <c r="C6" s="72">
        <v>20</v>
      </c>
      <c r="D6" s="73" t="s">
        <v>1</v>
      </c>
      <c r="E6" s="74">
        <v>280</v>
      </c>
      <c r="F6" s="74">
        <v>500</v>
      </c>
      <c r="G6" s="10">
        <f t="shared" ref="G6" si="10">(F6-E6)/E6</f>
        <v>0.7857142857142857</v>
      </c>
      <c r="H6" s="9">
        <f t="shared" ref="H6" si="11">F6-E6</f>
        <v>220</v>
      </c>
      <c r="I6" s="20">
        <f t="shared" ref="I6" si="12">(F6-E6)/F6</f>
        <v>0.44</v>
      </c>
      <c r="J6" s="24">
        <v>13</v>
      </c>
      <c r="K6" s="27">
        <f t="shared" si="0"/>
        <v>3640</v>
      </c>
      <c r="L6" s="222">
        <f>SUM(K6:K11)</f>
        <v>18325</v>
      </c>
      <c r="M6" s="27">
        <f t="shared" si="1"/>
        <v>6500</v>
      </c>
      <c r="N6" s="222">
        <f>SUM(M6:M11)</f>
        <v>34820</v>
      </c>
      <c r="O6" s="27">
        <f t="shared" si="2"/>
        <v>2860</v>
      </c>
      <c r="P6" s="222">
        <f>SUM(O6:O11)</f>
        <v>16495</v>
      </c>
      <c r="Q6" s="33">
        <f t="shared" si="9"/>
        <v>5.72</v>
      </c>
      <c r="R6" s="218"/>
      <c r="S6" s="93">
        <v>3</v>
      </c>
      <c r="T6" s="93">
        <v>320</v>
      </c>
      <c r="U6" s="94" t="s">
        <v>33</v>
      </c>
      <c r="V6" s="53"/>
      <c r="W6" s="91"/>
      <c r="X6" s="82"/>
      <c r="Y6" s="1"/>
    </row>
    <row r="7" spans="2:25" x14ac:dyDescent="0.25">
      <c r="B7" s="220"/>
      <c r="C7" s="71">
        <v>21</v>
      </c>
      <c r="D7" s="4" t="s">
        <v>8</v>
      </c>
      <c r="E7" s="5">
        <v>325</v>
      </c>
      <c r="F7" s="5">
        <v>580</v>
      </c>
      <c r="G7" s="14">
        <f t="shared" ref="G7:G9" si="13">(F7-E7)/E7</f>
        <v>0.7846153846153846</v>
      </c>
      <c r="H7" s="13">
        <f t="shared" ref="H7:H9" si="14">F7-E7</f>
        <v>255</v>
      </c>
      <c r="I7" s="21">
        <f t="shared" ref="I7:I9" si="15">(F7-E7)/F7</f>
        <v>0.43965517241379309</v>
      </c>
      <c r="J7" s="25">
        <v>13</v>
      </c>
      <c r="K7" s="28">
        <f t="shared" si="0"/>
        <v>4225</v>
      </c>
      <c r="L7" s="223"/>
      <c r="M7" s="28">
        <f t="shared" si="1"/>
        <v>7540</v>
      </c>
      <c r="N7" s="223"/>
      <c r="O7" s="28">
        <f t="shared" si="2"/>
        <v>3315</v>
      </c>
      <c r="P7" s="223"/>
      <c r="Q7" s="33">
        <f t="shared" si="9"/>
        <v>5.7155172413793105</v>
      </c>
      <c r="R7" s="218"/>
      <c r="S7" s="64">
        <v>4</v>
      </c>
      <c r="T7" s="64">
        <v>350</v>
      </c>
      <c r="U7" s="64" t="s">
        <v>37</v>
      </c>
      <c r="V7" s="66" t="s">
        <v>28</v>
      </c>
      <c r="W7" s="53"/>
      <c r="X7" s="82"/>
      <c r="Y7" s="18"/>
    </row>
    <row r="8" spans="2:25" x14ac:dyDescent="0.25">
      <c r="B8" s="220"/>
      <c r="C8" s="71">
        <v>22</v>
      </c>
      <c r="D8" s="4" t="s">
        <v>4</v>
      </c>
      <c r="E8" s="5">
        <v>340</v>
      </c>
      <c r="F8" s="5">
        <v>580</v>
      </c>
      <c r="G8" s="14">
        <f t="shared" si="13"/>
        <v>0.70588235294117652</v>
      </c>
      <c r="H8" s="13">
        <f t="shared" si="14"/>
        <v>240</v>
      </c>
      <c r="I8" s="21">
        <f t="shared" si="15"/>
        <v>0.41379310344827586</v>
      </c>
      <c r="J8" s="25">
        <v>8</v>
      </c>
      <c r="K8" s="28">
        <f t="shared" si="0"/>
        <v>2720</v>
      </c>
      <c r="L8" s="223"/>
      <c r="M8" s="28">
        <f t="shared" si="1"/>
        <v>4640</v>
      </c>
      <c r="N8" s="223"/>
      <c r="O8" s="28">
        <f t="shared" si="2"/>
        <v>1920</v>
      </c>
      <c r="P8" s="223"/>
      <c r="Q8" s="33">
        <f t="shared" si="9"/>
        <v>3.3103448275862069</v>
      </c>
      <c r="R8" s="218"/>
      <c r="S8" s="100">
        <v>5</v>
      </c>
      <c r="T8" s="100">
        <v>400</v>
      </c>
      <c r="U8" s="100" t="s">
        <v>10</v>
      </c>
      <c r="V8" s="100" t="s">
        <v>41</v>
      </c>
      <c r="W8" s="54"/>
      <c r="X8" s="82"/>
      <c r="Y8" s="18"/>
    </row>
    <row r="9" spans="2:25" x14ac:dyDescent="0.25">
      <c r="B9" s="220"/>
      <c r="C9" s="65">
        <v>23</v>
      </c>
      <c r="D9" s="105" t="s">
        <v>37</v>
      </c>
      <c r="E9" s="66">
        <v>120</v>
      </c>
      <c r="F9" s="66">
        <v>350</v>
      </c>
      <c r="G9" s="14">
        <f t="shared" si="13"/>
        <v>1.9166666666666667</v>
      </c>
      <c r="H9" s="13">
        <f t="shared" si="14"/>
        <v>230</v>
      </c>
      <c r="I9" s="21">
        <f t="shared" si="15"/>
        <v>0.65714285714285714</v>
      </c>
      <c r="J9" s="25">
        <v>6</v>
      </c>
      <c r="K9" s="28">
        <f t="shared" si="0"/>
        <v>720</v>
      </c>
      <c r="L9" s="223"/>
      <c r="M9" s="28">
        <f t="shared" si="1"/>
        <v>2100</v>
      </c>
      <c r="N9" s="223"/>
      <c r="O9" s="28">
        <f t="shared" si="2"/>
        <v>1380</v>
      </c>
      <c r="P9" s="223"/>
      <c r="Q9" s="33">
        <f t="shared" si="9"/>
        <v>3.9428571428571431</v>
      </c>
      <c r="R9" s="218"/>
      <c r="S9" s="44">
        <v>6</v>
      </c>
      <c r="T9" s="44">
        <v>500</v>
      </c>
      <c r="U9" s="43" t="s">
        <v>43</v>
      </c>
      <c r="V9" s="43" t="s">
        <v>1</v>
      </c>
      <c r="W9" s="54"/>
      <c r="X9" s="82"/>
      <c r="Y9" s="18"/>
    </row>
    <row r="10" spans="2:25" x14ac:dyDescent="0.25">
      <c r="B10" s="220"/>
      <c r="C10" s="71">
        <v>24</v>
      </c>
      <c r="D10" s="92" t="s">
        <v>7</v>
      </c>
      <c r="E10" s="5">
        <v>300</v>
      </c>
      <c r="F10" s="5">
        <v>580</v>
      </c>
      <c r="G10" s="14">
        <f t="shared" ref="G10:G11" si="16">(F10-E10)/E10</f>
        <v>0.93333333333333335</v>
      </c>
      <c r="H10" s="13">
        <f t="shared" ref="H10:H11" si="17">F10-E10</f>
        <v>280</v>
      </c>
      <c r="I10" s="21">
        <f t="shared" ref="I10:I11" si="18">(F10-E10)/F10</f>
        <v>0.48275862068965519</v>
      </c>
      <c r="J10" s="25">
        <v>13</v>
      </c>
      <c r="K10" s="28">
        <f t="shared" si="0"/>
        <v>3900</v>
      </c>
      <c r="L10" s="223"/>
      <c r="M10" s="28">
        <f t="shared" si="1"/>
        <v>7540</v>
      </c>
      <c r="N10" s="223"/>
      <c r="O10" s="28">
        <f t="shared" si="2"/>
        <v>3640</v>
      </c>
      <c r="P10" s="223"/>
      <c r="Q10" s="33">
        <f t="shared" si="9"/>
        <v>6.2758620689655178</v>
      </c>
      <c r="R10" s="218"/>
      <c r="S10" s="39">
        <v>7</v>
      </c>
      <c r="T10" s="39">
        <v>550</v>
      </c>
      <c r="U10" s="37" t="s">
        <v>3</v>
      </c>
      <c r="V10" s="39" t="s">
        <v>27</v>
      </c>
      <c r="W10" s="39" t="s">
        <v>39</v>
      </c>
      <c r="X10" s="82"/>
    </row>
    <row r="11" spans="2:25" ht="15.75" thickBot="1" x14ac:dyDescent="0.3">
      <c r="B11" s="221"/>
      <c r="C11" s="75">
        <v>25</v>
      </c>
      <c r="D11" s="76" t="s">
        <v>42</v>
      </c>
      <c r="E11" s="114">
        <v>240</v>
      </c>
      <c r="F11" s="114">
        <v>500</v>
      </c>
      <c r="G11" s="16">
        <f t="shared" si="16"/>
        <v>1.0833333333333333</v>
      </c>
      <c r="H11" s="15">
        <f t="shared" si="17"/>
        <v>260</v>
      </c>
      <c r="I11" s="22">
        <f t="shared" si="18"/>
        <v>0.52</v>
      </c>
      <c r="J11" s="26">
        <v>13</v>
      </c>
      <c r="K11" s="29">
        <f t="shared" si="0"/>
        <v>3120</v>
      </c>
      <c r="L11" s="224"/>
      <c r="M11" s="29">
        <f t="shared" si="1"/>
        <v>6500</v>
      </c>
      <c r="N11" s="224"/>
      <c r="O11" s="29">
        <f t="shared" si="2"/>
        <v>3380</v>
      </c>
      <c r="P11" s="224"/>
      <c r="Q11" s="33">
        <f t="shared" si="9"/>
        <v>6.76</v>
      </c>
      <c r="R11" s="218"/>
      <c r="S11" s="42">
        <v>8</v>
      </c>
      <c r="T11" s="42">
        <v>580</v>
      </c>
      <c r="U11" s="42" t="s">
        <v>8</v>
      </c>
      <c r="V11" s="42" t="s">
        <v>4</v>
      </c>
      <c r="W11" s="42" t="s">
        <v>7</v>
      </c>
      <c r="X11" s="82"/>
      <c r="Y11" s="1"/>
    </row>
    <row r="12" spans="2:25" x14ac:dyDescent="0.25">
      <c r="B12" s="219">
        <v>3</v>
      </c>
      <c r="C12" s="55">
        <v>30</v>
      </c>
      <c r="D12" s="46" t="s">
        <v>36</v>
      </c>
      <c r="E12" s="36">
        <v>80</v>
      </c>
      <c r="F12" s="36">
        <v>180</v>
      </c>
      <c r="G12" s="10">
        <f>(F12-E12)/E12</f>
        <v>1.25</v>
      </c>
      <c r="H12" s="9">
        <f>F12-E12</f>
        <v>100</v>
      </c>
      <c r="I12" s="20">
        <f>(F12-E12)/F12</f>
        <v>0.55555555555555558</v>
      </c>
      <c r="J12" s="24">
        <v>13</v>
      </c>
      <c r="K12" s="27">
        <f t="shared" si="0"/>
        <v>1040</v>
      </c>
      <c r="L12" s="222">
        <f>SUM(K12:K17)</f>
        <v>10465</v>
      </c>
      <c r="M12" s="27">
        <f t="shared" si="1"/>
        <v>2340</v>
      </c>
      <c r="N12" s="222">
        <f>SUM(M12:M17)</f>
        <v>21320</v>
      </c>
      <c r="O12" s="27">
        <f t="shared" si="2"/>
        <v>1300</v>
      </c>
      <c r="P12" s="222">
        <f>SUM(O12:O17)</f>
        <v>10855</v>
      </c>
      <c r="Q12" s="33">
        <f t="shared" si="9"/>
        <v>7.2222222222222223</v>
      </c>
      <c r="R12" s="218"/>
      <c r="S12" s="41">
        <v>9</v>
      </c>
      <c r="T12" s="41">
        <v>600</v>
      </c>
      <c r="U12" s="40" t="s">
        <v>6</v>
      </c>
      <c r="V12" s="41" t="s">
        <v>44</v>
      </c>
      <c r="W12" s="52"/>
      <c r="X12" s="82"/>
      <c r="Y12" s="18"/>
    </row>
    <row r="13" spans="2:25" x14ac:dyDescent="0.25">
      <c r="B13" s="220"/>
      <c r="C13" s="56">
        <v>31</v>
      </c>
      <c r="D13" s="47" t="s">
        <v>35</v>
      </c>
      <c r="E13" s="38">
        <v>80</v>
      </c>
      <c r="F13" s="38">
        <v>180</v>
      </c>
      <c r="G13" s="31">
        <f t="shared" ref="G13" si="19">(F13-E13)/E13</f>
        <v>1.25</v>
      </c>
      <c r="H13" s="30">
        <f t="shared" ref="H13" si="20">F13-E13</f>
        <v>100</v>
      </c>
      <c r="I13" s="32">
        <f t="shared" ref="I13" si="21">(F13-E13)/F13</f>
        <v>0.55555555555555558</v>
      </c>
      <c r="J13" s="25">
        <v>13</v>
      </c>
      <c r="K13" s="28">
        <f t="shared" si="0"/>
        <v>1040</v>
      </c>
      <c r="L13" s="223"/>
      <c r="M13" s="28">
        <f t="shared" si="1"/>
        <v>2340</v>
      </c>
      <c r="N13" s="223"/>
      <c r="O13" s="28">
        <f t="shared" si="2"/>
        <v>1300</v>
      </c>
      <c r="P13" s="223"/>
      <c r="Q13" s="33">
        <f t="shared" si="9"/>
        <v>7.2222222222222223</v>
      </c>
      <c r="R13" s="218"/>
      <c r="X13" s="2"/>
      <c r="Y13" s="18"/>
    </row>
    <row r="14" spans="2:25" x14ac:dyDescent="0.25">
      <c r="B14" s="220"/>
      <c r="C14" s="65">
        <v>32</v>
      </c>
      <c r="D14" s="105" t="s">
        <v>28</v>
      </c>
      <c r="E14" s="66">
        <v>165</v>
      </c>
      <c r="F14" s="66">
        <v>350</v>
      </c>
      <c r="G14" s="14">
        <f t="shared" ref="G14:G31" si="22">(F14-E14)/E14</f>
        <v>1.1212121212121211</v>
      </c>
      <c r="H14" s="13">
        <f t="shared" ref="H14:H30" si="23">F14-E14</f>
        <v>185</v>
      </c>
      <c r="I14" s="21">
        <f t="shared" ref="I14:I31" si="24">(F14-E14)/F14</f>
        <v>0.52857142857142858</v>
      </c>
      <c r="J14" s="25">
        <v>13</v>
      </c>
      <c r="K14" s="28">
        <f t="shared" si="0"/>
        <v>2145</v>
      </c>
      <c r="L14" s="223"/>
      <c r="M14" s="28">
        <f t="shared" si="1"/>
        <v>4550</v>
      </c>
      <c r="N14" s="223"/>
      <c r="O14" s="28">
        <f t="shared" si="2"/>
        <v>2405</v>
      </c>
      <c r="P14" s="223"/>
      <c r="Q14" s="33">
        <f t="shared" si="9"/>
        <v>6.8714285714285719</v>
      </c>
      <c r="R14" s="218"/>
      <c r="S14" s="83"/>
      <c r="T14" s="83"/>
      <c r="U14" s="83"/>
      <c r="V14" s="83"/>
      <c r="W14" s="83"/>
      <c r="X14" s="1"/>
      <c r="Y14" s="18"/>
    </row>
    <row r="15" spans="2:25" x14ac:dyDescent="0.25">
      <c r="B15" s="220"/>
      <c r="C15" s="102">
        <v>33</v>
      </c>
      <c r="D15" s="103" t="s">
        <v>33</v>
      </c>
      <c r="E15" s="104">
        <v>180</v>
      </c>
      <c r="F15" s="104">
        <v>320</v>
      </c>
      <c r="G15" s="31">
        <f t="shared" si="22"/>
        <v>0.77777777777777779</v>
      </c>
      <c r="H15" s="30">
        <f t="shared" si="23"/>
        <v>140</v>
      </c>
      <c r="I15" s="32">
        <f t="shared" si="24"/>
        <v>0.4375</v>
      </c>
      <c r="J15" s="25">
        <v>13</v>
      </c>
      <c r="K15" s="28">
        <f>E6*J15</f>
        <v>3640</v>
      </c>
      <c r="L15" s="223"/>
      <c r="M15" s="28">
        <f>F6*J15</f>
        <v>6500</v>
      </c>
      <c r="N15" s="223"/>
      <c r="O15" s="28">
        <f t="shared" si="2"/>
        <v>2860</v>
      </c>
      <c r="P15" s="223"/>
      <c r="Q15" s="33">
        <f t="shared" si="9"/>
        <v>5.6875</v>
      </c>
      <c r="R15" s="218"/>
      <c r="S15" s="80"/>
      <c r="T15" s="80"/>
      <c r="U15" s="84"/>
      <c r="V15" s="84"/>
      <c r="W15" s="85"/>
      <c r="X15" s="1"/>
      <c r="Y15" s="18"/>
    </row>
    <row r="16" spans="2:25" x14ac:dyDescent="0.25">
      <c r="B16" s="220"/>
      <c r="C16" s="56">
        <v>34</v>
      </c>
      <c r="D16" s="48" t="s">
        <v>38</v>
      </c>
      <c r="E16" s="37">
        <v>80</v>
      </c>
      <c r="F16" s="37">
        <v>180</v>
      </c>
      <c r="G16" s="14">
        <f t="shared" si="22"/>
        <v>1.25</v>
      </c>
      <c r="H16" s="13">
        <f t="shared" si="23"/>
        <v>100</v>
      </c>
      <c r="I16" s="21">
        <f t="shared" si="24"/>
        <v>0.55555555555555558</v>
      </c>
      <c r="J16" s="25">
        <v>13</v>
      </c>
      <c r="K16" s="28">
        <f t="shared" ref="K16:K35" si="25">E16*J16</f>
        <v>1040</v>
      </c>
      <c r="L16" s="223"/>
      <c r="M16" s="28">
        <f t="shared" ref="M16:M35" si="26">F16*J16</f>
        <v>2340</v>
      </c>
      <c r="N16" s="223"/>
      <c r="O16" s="28">
        <f t="shared" si="2"/>
        <v>1300</v>
      </c>
      <c r="P16" s="223"/>
      <c r="Q16" s="33">
        <f t="shared" si="9"/>
        <v>7.2222222222222223</v>
      </c>
      <c r="R16" s="218"/>
      <c r="S16" s="80"/>
      <c r="T16" s="80"/>
      <c r="U16" s="84"/>
      <c r="V16" s="84"/>
      <c r="W16" s="85"/>
      <c r="X16" s="2"/>
      <c r="Y16" s="18"/>
    </row>
    <row r="17" spans="2:25" ht="15.75" thickBot="1" x14ac:dyDescent="0.3">
      <c r="B17" s="221"/>
      <c r="C17" s="97">
        <v>35</v>
      </c>
      <c r="D17" s="98" t="s">
        <v>5</v>
      </c>
      <c r="E17" s="99">
        <v>120</v>
      </c>
      <c r="F17" s="99">
        <v>250</v>
      </c>
      <c r="G17" s="12">
        <f t="shared" si="22"/>
        <v>1.0833333333333333</v>
      </c>
      <c r="H17" s="11">
        <f t="shared" si="23"/>
        <v>130</v>
      </c>
      <c r="I17" s="23">
        <f t="shared" si="24"/>
        <v>0.52</v>
      </c>
      <c r="J17" s="26">
        <v>13</v>
      </c>
      <c r="K17" s="29">
        <f t="shared" si="25"/>
        <v>1560</v>
      </c>
      <c r="L17" s="224"/>
      <c r="M17" s="29">
        <f t="shared" si="26"/>
        <v>3250</v>
      </c>
      <c r="N17" s="224"/>
      <c r="O17" s="29">
        <f t="shared" si="2"/>
        <v>1690</v>
      </c>
      <c r="P17" s="224"/>
      <c r="Q17" s="33">
        <f t="shared" si="9"/>
        <v>6.76</v>
      </c>
      <c r="R17" s="218"/>
      <c r="S17" s="80"/>
      <c r="T17" s="80"/>
      <c r="U17" s="84"/>
      <c r="V17" s="84"/>
      <c r="W17" s="85"/>
      <c r="X17" s="2"/>
      <c r="Y17" s="18"/>
    </row>
    <row r="18" spans="2:25" x14ac:dyDescent="0.25">
      <c r="B18" s="219">
        <v>4</v>
      </c>
      <c r="C18" s="55">
        <v>40</v>
      </c>
      <c r="D18" s="46" t="s">
        <v>3</v>
      </c>
      <c r="E18" s="36">
        <v>360</v>
      </c>
      <c r="F18" s="36">
        <v>550</v>
      </c>
      <c r="G18" s="10">
        <f t="shared" si="22"/>
        <v>0.52777777777777779</v>
      </c>
      <c r="H18" s="9">
        <f t="shared" si="23"/>
        <v>190</v>
      </c>
      <c r="I18" s="20">
        <f t="shared" si="24"/>
        <v>0.34545454545454546</v>
      </c>
      <c r="J18" s="24">
        <v>5</v>
      </c>
      <c r="K18" s="27">
        <f t="shared" si="25"/>
        <v>1800</v>
      </c>
      <c r="L18" s="222">
        <f>SUM(K18:K23)</f>
        <v>9350</v>
      </c>
      <c r="M18" s="27">
        <f t="shared" si="26"/>
        <v>2750</v>
      </c>
      <c r="N18" s="222">
        <f>SUM(M18:M23)</f>
        <v>16500</v>
      </c>
      <c r="O18" s="27">
        <f t="shared" si="2"/>
        <v>950</v>
      </c>
      <c r="P18" s="222">
        <f>SUM(O18:O23)</f>
        <v>7150</v>
      </c>
      <c r="Q18" s="33">
        <f t="shared" si="9"/>
        <v>1.7272727272727273</v>
      </c>
      <c r="R18" s="218"/>
      <c r="S18" s="80"/>
      <c r="T18" s="80"/>
      <c r="U18" s="84"/>
      <c r="V18" s="84"/>
      <c r="W18" s="80"/>
      <c r="X18" s="2"/>
      <c r="Y18" s="18"/>
    </row>
    <row r="19" spans="2:25" x14ac:dyDescent="0.25">
      <c r="B19" s="220"/>
      <c r="C19" s="56">
        <v>41</v>
      </c>
      <c r="D19" s="48" t="s">
        <v>3</v>
      </c>
      <c r="E19" s="37">
        <v>360</v>
      </c>
      <c r="F19" s="37">
        <v>550</v>
      </c>
      <c r="G19" s="14">
        <f t="shared" si="22"/>
        <v>0.52777777777777779</v>
      </c>
      <c r="H19" s="13">
        <f t="shared" si="23"/>
        <v>190</v>
      </c>
      <c r="I19" s="21">
        <f t="shared" si="24"/>
        <v>0.34545454545454546</v>
      </c>
      <c r="J19" s="25">
        <v>5</v>
      </c>
      <c r="K19" s="28">
        <f t="shared" si="25"/>
        <v>1800</v>
      </c>
      <c r="L19" s="223"/>
      <c r="M19" s="28">
        <f t="shared" si="26"/>
        <v>2750</v>
      </c>
      <c r="N19" s="223"/>
      <c r="O19" s="28">
        <f t="shared" si="2"/>
        <v>950</v>
      </c>
      <c r="P19" s="223"/>
      <c r="Q19" s="33">
        <f t="shared" si="9"/>
        <v>1.7272727272727273</v>
      </c>
      <c r="R19" s="218"/>
      <c r="S19" s="80"/>
      <c r="T19" s="80"/>
      <c r="U19" s="80"/>
      <c r="V19" s="80"/>
      <c r="W19" s="80"/>
      <c r="X19" s="2"/>
      <c r="Y19" s="18"/>
    </row>
    <row r="20" spans="2:25" x14ac:dyDescent="0.25">
      <c r="B20" s="220"/>
      <c r="C20" s="56">
        <v>42</v>
      </c>
      <c r="D20" s="48" t="s">
        <v>27</v>
      </c>
      <c r="E20" s="37">
        <v>255</v>
      </c>
      <c r="F20" s="37">
        <v>550</v>
      </c>
      <c r="G20" s="14">
        <f t="shared" ref="G20:G21" si="27">(F20-E20)/E20</f>
        <v>1.1568627450980393</v>
      </c>
      <c r="H20" s="13">
        <f t="shared" ref="H20:H21" si="28">F20-E20</f>
        <v>295</v>
      </c>
      <c r="I20" s="21">
        <f t="shared" ref="I20:I21" si="29">(F20-E20)/F20</f>
        <v>0.53636363636363638</v>
      </c>
      <c r="J20" s="25">
        <v>5</v>
      </c>
      <c r="K20" s="28">
        <f t="shared" si="25"/>
        <v>1275</v>
      </c>
      <c r="L20" s="223"/>
      <c r="M20" s="28">
        <f t="shared" si="26"/>
        <v>2750</v>
      </c>
      <c r="N20" s="223"/>
      <c r="O20" s="28">
        <f t="shared" si="2"/>
        <v>1475</v>
      </c>
      <c r="P20" s="223"/>
      <c r="Q20" s="33">
        <f t="shared" si="9"/>
        <v>2.6818181818181817</v>
      </c>
      <c r="R20" s="218"/>
      <c r="S20" s="80"/>
      <c r="T20" s="80"/>
      <c r="U20" s="84"/>
      <c r="V20" s="84"/>
      <c r="W20" s="85"/>
      <c r="Y20" s="18"/>
    </row>
    <row r="21" spans="2:25" x14ac:dyDescent="0.25">
      <c r="B21" s="220"/>
      <c r="C21" s="56">
        <v>43</v>
      </c>
      <c r="D21" s="48" t="s">
        <v>27</v>
      </c>
      <c r="E21" s="37">
        <v>255</v>
      </c>
      <c r="F21" s="37">
        <v>550</v>
      </c>
      <c r="G21" s="14">
        <f t="shared" si="27"/>
        <v>1.1568627450980393</v>
      </c>
      <c r="H21" s="13">
        <f t="shared" si="28"/>
        <v>295</v>
      </c>
      <c r="I21" s="21">
        <f t="shared" si="29"/>
        <v>0.53636363636363638</v>
      </c>
      <c r="J21" s="25">
        <v>5</v>
      </c>
      <c r="K21" s="28">
        <f t="shared" si="25"/>
        <v>1275</v>
      </c>
      <c r="L21" s="223"/>
      <c r="M21" s="28">
        <f t="shared" si="26"/>
        <v>2750</v>
      </c>
      <c r="N21" s="223"/>
      <c r="O21" s="28">
        <f t="shared" si="2"/>
        <v>1475</v>
      </c>
      <c r="P21" s="223"/>
      <c r="Q21" s="33">
        <f t="shared" si="9"/>
        <v>2.6818181818181817</v>
      </c>
      <c r="R21" s="218"/>
      <c r="S21" s="80"/>
      <c r="T21" s="80"/>
      <c r="U21" s="84"/>
      <c r="V21" s="84"/>
      <c r="W21" s="85"/>
      <c r="Y21" s="18"/>
    </row>
    <row r="22" spans="2:25" x14ac:dyDescent="0.25">
      <c r="B22" s="220"/>
      <c r="C22" s="56">
        <v>44</v>
      </c>
      <c r="D22" s="48" t="s">
        <v>39</v>
      </c>
      <c r="E22" s="37">
        <v>280</v>
      </c>
      <c r="F22" s="37">
        <v>550</v>
      </c>
      <c r="G22" s="14">
        <f t="shared" ref="G22:G29" si="30">(F22-E22)/E22</f>
        <v>0.9642857142857143</v>
      </c>
      <c r="H22" s="13">
        <f t="shared" ref="H22:H29" si="31">F22-E22</f>
        <v>270</v>
      </c>
      <c r="I22" s="21">
        <f t="shared" ref="I22:I29" si="32">(F22-E22)/F22</f>
        <v>0.49090909090909091</v>
      </c>
      <c r="J22" s="25">
        <v>5</v>
      </c>
      <c r="K22" s="28">
        <f t="shared" si="25"/>
        <v>1400</v>
      </c>
      <c r="L22" s="223"/>
      <c r="M22" s="28">
        <f t="shared" si="26"/>
        <v>2750</v>
      </c>
      <c r="N22" s="223"/>
      <c r="O22" s="28">
        <f t="shared" si="2"/>
        <v>1350</v>
      </c>
      <c r="P22" s="223"/>
      <c r="Q22" s="33">
        <f t="shared" si="9"/>
        <v>2.4545454545454546</v>
      </c>
      <c r="R22" s="218"/>
      <c r="S22" s="80"/>
      <c r="T22" s="80"/>
      <c r="U22" s="80"/>
      <c r="V22" s="80"/>
      <c r="W22" s="80"/>
      <c r="Y22" s="18"/>
    </row>
    <row r="23" spans="2:25" ht="15.75" thickBot="1" x14ac:dyDescent="0.3">
      <c r="B23" s="221"/>
      <c r="C23" s="88">
        <v>45</v>
      </c>
      <c r="D23" s="89" t="s">
        <v>3</v>
      </c>
      <c r="E23" s="90">
        <v>360</v>
      </c>
      <c r="F23" s="90">
        <v>550</v>
      </c>
      <c r="G23" s="12">
        <f t="shared" si="30"/>
        <v>0.52777777777777779</v>
      </c>
      <c r="H23" s="11">
        <f t="shared" si="31"/>
        <v>190</v>
      </c>
      <c r="I23" s="23">
        <f t="shared" si="32"/>
        <v>0.34545454545454546</v>
      </c>
      <c r="J23" s="26">
        <v>5</v>
      </c>
      <c r="K23" s="29">
        <f t="shared" si="25"/>
        <v>1800</v>
      </c>
      <c r="L23" s="224"/>
      <c r="M23" s="29">
        <f t="shared" si="26"/>
        <v>2750</v>
      </c>
      <c r="N23" s="224"/>
      <c r="O23" s="29">
        <f t="shared" si="2"/>
        <v>950</v>
      </c>
      <c r="P23" s="224"/>
      <c r="Q23" s="33">
        <f t="shared" si="9"/>
        <v>1.7272727272727273</v>
      </c>
      <c r="R23" s="218"/>
      <c r="S23" s="80"/>
      <c r="T23" s="80"/>
      <c r="U23" s="84"/>
      <c r="V23" s="84"/>
      <c r="W23" s="85"/>
      <c r="Y23" s="18"/>
    </row>
    <row r="24" spans="2:25" x14ac:dyDescent="0.25">
      <c r="B24" s="219">
        <v>5</v>
      </c>
      <c r="C24" s="117">
        <v>50</v>
      </c>
      <c r="D24" s="49" t="s">
        <v>6</v>
      </c>
      <c r="E24" s="45">
        <v>370</v>
      </c>
      <c r="F24" s="45">
        <v>600</v>
      </c>
      <c r="G24" s="10">
        <f t="shared" si="30"/>
        <v>0.6216216216216216</v>
      </c>
      <c r="H24" s="9">
        <f t="shared" si="31"/>
        <v>230</v>
      </c>
      <c r="I24" s="20">
        <f t="shared" si="32"/>
        <v>0.38333333333333336</v>
      </c>
      <c r="J24" s="24">
        <v>5</v>
      </c>
      <c r="K24" s="27">
        <f t="shared" si="25"/>
        <v>1850</v>
      </c>
      <c r="L24" s="222">
        <f>SUM(K24:K29)</f>
        <v>11175</v>
      </c>
      <c r="M24" s="27">
        <f t="shared" si="26"/>
        <v>3000</v>
      </c>
      <c r="N24" s="222">
        <f>SUM(M24:M29)</f>
        <v>18000</v>
      </c>
      <c r="O24" s="27">
        <f t="shared" si="2"/>
        <v>1150</v>
      </c>
      <c r="P24" s="222">
        <f>SUM(O24:O29)</f>
        <v>6825</v>
      </c>
      <c r="Q24" s="33">
        <f t="shared" si="9"/>
        <v>1.9166666666666667</v>
      </c>
      <c r="R24" s="218"/>
      <c r="S24" s="80"/>
      <c r="T24" s="80"/>
      <c r="U24" s="84"/>
      <c r="V24" s="80"/>
      <c r="W24" s="80"/>
      <c r="Y24" s="18"/>
    </row>
    <row r="25" spans="2:25" x14ac:dyDescent="0.25">
      <c r="B25" s="220"/>
      <c r="C25" s="77">
        <v>51</v>
      </c>
      <c r="D25" s="50" t="s">
        <v>6</v>
      </c>
      <c r="E25" s="40">
        <v>370</v>
      </c>
      <c r="F25" s="40">
        <v>600</v>
      </c>
      <c r="G25" s="14">
        <f t="shared" si="30"/>
        <v>0.6216216216216216</v>
      </c>
      <c r="H25" s="13">
        <f t="shared" si="31"/>
        <v>230</v>
      </c>
      <c r="I25" s="21">
        <f t="shared" si="32"/>
        <v>0.38333333333333336</v>
      </c>
      <c r="J25" s="25">
        <v>5</v>
      </c>
      <c r="K25" s="28">
        <f t="shared" si="25"/>
        <v>1850</v>
      </c>
      <c r="L25" s="223"/>
      <c r="M25" s="28">
        <f t="shared" si="26"/>
        <v>3000</v>
      </c>
      <c r="N25" s="223"/>
      <c r="O25" s="28">
        <f t="shared" si="2"/>
        <v>1150</v>
      </c>
      <c r="P25" s="223"/>
      <c r="Q25" s="33">
        <f t="shared" si="9"/>
        <v>1.9166666666666667</v>
      </c>
      <c r="R25" s="218"/>
      <c r="S25" s="80"/>
      <c r="T25" s="80"/>
      <c r="U25" s="84"/>
      <c r="V25" s="84"/>
      <c r="W25" s="80"/>
      <c r="Y25" s="18"/>
    </row>
    <row r="26" spans="2:25" x14ac:dyDescent="0.25">
      <c r="B26" s="220"/>
      <c r="C26" s="77">
        <v>52</v>
      </c>
      <c r="D26" s="50" t="s">
        <v>6</v>
      </c>
      <c r="E26" s="40">
        <v>370</v>
      </c>
      <c r="F26" s="40">
        <v>600</v>
      </c>
      <c r="G26" s="14">
        <f t="shared" si="30"/>
        <v>0.6216216216216216</v>
      </c>
      <c r="H26" s="13">
        <f t="shared" si="31"/>
        <v>230</v>
      </c>
      <c r="I26" s="21">
        <f t="shared" si="32"/>
        <v>0.38333333333333336</v>
      </c>
      <c r="J26" s="25">
        <v>5</v>
      </c>
      <c r="K26" s="28">
        <f t="shared" si="25"/>
        <v>1850</v>
      </c>
      <c r="L26" s="223"/>
      <c r="M26" s="28">
        <f t="shared" si="26"/>
        <v>3000</v>
      </c>
      <c r="N26" s="223"/>
      <c r="O26" s="28">
        <f t="shared" si="2"/>
        <v>1150</v>
      </c>
      <c r="P26" s="223"/>
      <c r="Q26" s="33">
        <f t="shared" si="9"/>
        <v>1.9166666666666667</v>
      </c>
      <c r="R26" s="218"/>
      <c r="Y26" s="18"/>
    </row>
    <row r="27" spans="2:25" x14ac:dyDescent="0.25">
      <c r="B27" s="220"/>
      <c r="C27" s="77">
        <v>53</v>
      </c>
      <c r="D27" s="50" t="s">
        <v>34</v>
      </c>
      <c r="E27" s="40">
        <v>375</v>
      </c>
      <c r="F27" s="40">
        <v>600</v>
      </c>
      <c r="G27" s="14">
        <f t="shared" si="30"/>
        <v>0.6</v>
      </c>
      <c r="H27" s="13">
        <f t="shared" si="31"/>
        <v>225</v>
      </c>
      <c r="I27" s="21">
        <f t="shared" si="32"/>
        <v>0.375</v>
      </c>
      <c r="J27" s="25">
        <v>5</v>
      </c>
      <c r="K27" s="28">
        <f t="shared" si="25"/>
        <v>1875</v>
      </c>
      <c r="L27" s="223"/>
      <c r="M27" s="28">
        <f t="shared" si="26"/>
        <v>3000</v>
      </c>
      <c r="N27" s="223"/>
      <c r="O27" s="28">
        <f t="shared" si="2"/>
        <v>1125</v>
      </c>
      <c r="P27" s="223"/>
      <c r="Q27" s="33">
        <f t="shared" si="9"/>
        <v>1.875</v>
      </c>
      <c r="R27" s="218"/>
      <c r="Y27" s="18"/>
    </row>
    <row r="28" spans="2:25" x14ac:dyDescent="0.25">
      <c r="B28" s="220"/>
      <c r="C28" s="77">
        <v>54</v>
      </c>
      <c r="D28" s="78" t="s">
        <v>34</v>
      </c>
      <c r="E28" s="40">
        <v>375</v>
      </c>
      <c r="F28" s="40">
        <v>600</v>
      </c>
      <c r="G28" s="14">
        <f t="shared" si="30"/>
        <v>0.6</v>
      </c>
      <c r="H28" s="13">
        <f t="shared" si="31"/>
        <v>225</v>
      </c>
      <c r="I28" s="21">
        <f t="shared" si="32"/>
        <v>0.375</v>
      </c>
      <c r="J28" s="25">
        <v>5</v>
      </c>
      <c r="K28" s="28">
        <f t="shared" si="25"/>
        <v>1875</v>
      </c>
      <c r="L28" s="223"/>
      <c r="M28" s="28">
        <f t="shared" si="26"/>
        <v>3000</v>
      </c>
      <c r="N28" s="223"/>
      <c r="O28" s="28">
        <f t="shared" si="2"/>
        <v>1125</v>
      </c>
      <c r="P28" s="223"/>
      <c r="Q28" s="33">
        <f t="shared" si="9"/>
        <v>1.875</v>
      </c>
      <c r="R28" s="218"/>
      <c r="Y28" s="18"/>
    </row>
    <row r="29" spans="2:25" ht="15.75" thickBot="1" x14ac:dyDescent="0.3">
      <c r="B29" s="221"/>
      <c r="C29" s="62">
        <v>55</v>
      </c>
      <c r="D29" s="63" t="s">
        <v>34</v>
      </c>
      <c r="E29" s="79">
        <v>375</v>
      </c>
      <c r="F29" s="79">
        <v>600</v>
      </c>
      <c r="G29" s="12">
        <f t="shared" si="30"/>
        <v>0.6</v>
      </c>
      <c r="H29" s="11">
        <f t="shared" si="31"/>
        <v>225</v>
      </c>
      <c r="I29" s="23">
        <f t="shared" si="32"/>
        <v>0.375</v>
      </c>
      <c r="J29" s="26">
        <v>5</v>
      </c>
      <c r="K29" s="29">
        <f t="shared" si="25"/>
        <v>1875</v>
      </c>
      <c r="L29" s="224"/>
      <c r="M29" s="29">
        <f t="shared" si="26"/>
        <v>3000</v>
      </c>
      <c r="N29" s="224"/>
      <c r="O29" s="29">
        <f t="shared" si="2"/>
        <v>1125</v>
      </c>
      <c r="P29" s="224"/>
      <c r="Q29" s="33">
        <f t="shared" si="9"/>
        <v>1.875</v>
      </c>
      <c r="R29" s="218"/>
      <c r="Y29" s="18"/>
    </row>
    <row r="30" spans="2:25" x14ac:dyDescent="0.25">
      <c r="B30" s="219">
        <v>6</v>
      </c>
      <c r="C30" s="106">
        <v>60</v>
      </c>
      <c r="D30" s="107" t="s">
        <v>9</v>
      </c>
      <c r="E30" s="108">
        <v>235</v>
      </c>
      <c r="F30" s="108">
        <v>400</v>
      </c>
      <c r="G30" s="10">
        <f t="shared" si="22"/>
        <v>0.7021276595744681</v>
      </c>
      <c r="H30" s="9">
        <f t="shared" si="23"/>
        <v>165</v>
      </c>
      <c r="I30" s="20">
        <f t="shared" si="24"/>
        <v>0.41249999999999998</v>
      </c>
      <c r="J30" s="24">
        <v>5</v>
      </c>
      <c r="K30" s="27">
        <f t="shared" si="25"/>
        <v>1175</v>
      </c>
      <c r="L30" s="222">
        <f>SUM(K30:K35)</f>
        <v>6700</v>
      </c>
      <c r="M30" s="27">
        <f t="shared" si="26"/>
        <v>2000</v>
      </c>
      <c r="N30" s="222">
        <f>SUM(M30:M35)</f>
        <v>12000</v>
      </c>
      <c r="O30" s="27">
        <f t="shared" si="2"/>
        <v>825</v>
      </c>
      <c r="P30" s="222">
        <f>SUM(O30:O35)</f>
        <v>5300</v>
      </c>
      <c r="Q30" s="33">
        <f t="shared" si="9"/>
        <v>2.0625</v>
      </c>
      <c r="R30" s="218"/>
      <c r="Y30" s="1"/>
    </row>
    <row r="31" spans="2:25" x14ac:dyDescent="0.25">
      <c r="B31" s="220"/>
      <c r="C31" s="109">
        <v>61</v>
      </c>
      <c r="D31" s="110" t="s">
        <v>9</v>
      </c>
      <c r="E31" s="101">
        <v>235</v>
      </c>
      <c r="F31" s="101">
        <v>400</v>
      </c>
      <c r="G31" s="14">
        <f t="shared" si="22"/>
        <v>0.7021276595744681</v>
      </c>
      <c r="H31" s="13">
        <f t="shared" ref="H31:H35" si="33">F31-E31</f>
        <v>165</v>
      </c>
      <c r="I31" s="21">
        <f t="shared" si="24"/>
        <v>0.41249999999999998</v>
      </c>
      <c r="J31" s="25">
        <v>5</v>
      </c>
      <c r="K31" s="28">
        <f t="shared" si="25"/>
        <v>1175</v>
      </c>
      <c r="L31" s="223"/>
      <c r="M31" s="28">
        <f t="shared" si="26"/>
        <v>2000</v>
      </c>
      <c r="N31" s="223"/>
      <c r="O31" s="28">
        <f t="shared" si="2"/>
        <v>825</v>
      </c>
      <c r="P31" s="223"/>
      <c r="Q31" s="33">
        <f t="shared" si="9"/>
        <v>2.0625</v>
      </c>
      <c r="R31" s="218"/>
      <c r="Y31" s="1"/>
    </row>
    <row r="32" spans="2:25" x14ac:dyDescent="0.25">
      <c r="B32" s="220"/>
      <c r="C32" s="109">
        <v>62</v>
      </c>
      <c r="D32" s="110" t="s">
        <v>9</v>
      </c>
      <c r="E32" s="101">
        <v>235</v>
      </c>
      <c r="F32" s="101">
        <v>400</v>
      </c>
      <c r="G32" s="14">
        <f t="shared" ref="G32:G35" si="34">(F32-E32)/E32</f>
        <v>0.7021276595744681</v>
      </c>
      <c r="H32" s="13">
        <f t="shared" si="33"/>
        <v>165</v>
      </c>
      <c r="I32" s="21">
        <f t="shared" ref="I32:I35" si="35">(F32-E32)/F32</f>
        <v>0.41249999999999998</v>
      </c>
      <c r="J32" s="25">
        <v>5</v>
      </c>
      <c r="K32" s="28">
        <f t="shared" si="25"/>
        <v>1175</v>
      </c>
      <c r="L32" s="223"/>
      <c r="M32" s="28">
        <f t="shared" si="26"/>
        <v>2000</v>
      </c>
      <c r="N32" s="223"/>
      <c r="O32" s="28">
        <f t="shared" si="2"/>
        <v>825</v>
      </c>
      <c r="P32" s="223"/>
      <c r="Q32" s="33">
        <f t="shared" si="9"/>
        <v>2.0625</v>
      </c>
      <c r="R32" s="218"/>
      <c r="Y32" s="18"/>
    </row>
    <row r="33" spans="2:25" x14ac:dyDescent="0.25">
      <c r="B33" s="220"/>
      <c r="C33" s="109">
        <v>63</v>
      </c>
      <c r="D33" s="110" t="s">
        <v>9</v>
      </c>
      <c r="E33" s="101">
        <v>235</v>
      </c>
      <c r="F33" s="101">
        <v>400</v>
      </c>
      <c r="G33" s="14">
        <f t="shared" si="34"/>
        <v>0.7021276595744681</v>
      </c>
      <c r="H33" s="13">
        <f t="shared" si="33"/>
        <v>165</v>
      </c>
      <c r="I33" s="21">
        <f t="shared" si="35"/>
        <v>0.41249999999999998</v>
      </c>
      <c r="J33" s="25">
        <v>5</v>
      </c>
      <c r="K33" s="28">
        <f t="shared" si="25"/>
        <v>1175</v>
      </c>
      <c r="L33" s="223"/>
      <c r="M33" s="28">
        <f t="shared" si="26"/>
        <v>2000</v>
      </c>
      <c r="N33" s="223"/>
      <c r="O33" s="28">
        <f t="shared" si="2"/>
        <v>825</v>
      </c>
      <c r="P33" s="223"/>
      <c r="Q33" s="33">
        <f t="shared" si="9"/>
        <v>2.0625</v>
      </c>
      <c r="R33" s="218"/>
      <c r="Y33" s="18"/>
    </row>
    <row r="34" spans="2:25" x14ac:dyDescent="0.25">
      <c r="B34" s="220"/>
      <c r="C34" s="109">
        <v>64</v>
      </c>
      <c r="D34" s="110" t="s">
        <v>9</v>
      </c>
      <c r="E34" s="101">
        <v>235</v>
      </c>
      <c r="F34" s="101">
        <v>400</v>
      </c>
      <c r="G34" s="14">
        <f t="shared" ref="G34" si="36">(F34-E34)/E34</f>
        <v>0.7021276595744681</v>
      </c>
      <c r="H34" s="13">
        <f t="shared" ref="H34" si="37">F34-E34</f>
        <v>165</v>
      </c>
      <c r="I34" s="21">
        <f t="shared" ref="I34" si="38">(F34-E34)/F34</f>
        <v>0.41249999999999998</v>
      </c>
      <c r="J34" s="25">
        <v>5</v>
      </c>
      <c r="K34" s="28">
        <f t="shared" si="25"/>
        <v>1175</v>
      </c>
      <c r="L34" s="223"/>
      <c r="M34" s="28">
        <f t="shared" si="26"/>
        <v>2000</v>
      </c>
      <c r="N34" s="223"/>
      <c r="O34" s="28">
        <f t="shared" si="2"/>
        <v>825</v>
      </c>
      <c r="P34" s="223"/>
      <c r="Q34" s="33">
        <f t="shared" si="9"/>
        <v>2.0625</v>
      </c>
      <c r="R34" s="218"/>
      <c r="Y34" s="18"/>
    </row>
    <row r="35" spans="2:25" ht="15.75" thickBot="1" x14ac:dyDescent="0.3">
      <c r="B35" s="221"/>
      <c r="C35" s="111">
        <v>65</v>
      </c>
      <c r="D35" s="112" t="s">
        <v>20</v>
      </c>
      <c r="E35" s="113">
        <v>165</v>
      </c>
      <c r="F35" s="113">
        <v>400</v>
      </c>
      <c r="G35" s="12">
        <f t="shared" si="34"/>
        <v>1.4242424242424243</v>
      </c>
      <c r="H35" s="11">
        <f t="shared" si="33"/>
        <v>235</v>
      </c>
      <c r="I35" s="23">
        <f t="shared" si="35"/>
        <v>0.58750000000000002</v>
      </c>
      <c r="J35" s="26">
        <v>5</v>
      </c>
      <c r="K35" s="29">
        <f t="shared" si="25"/>
        <v>825</v>
      </c>
      <c r="L35" s="224"/>
      <c r="M35" s="29">
        <f t="shared" si="26"/>
        <v>2000</v>
      </c>
      <c r="N35" s="224"/>
      <c r="O35" s="29">
        <f t="shared" si="2"/>
        <v>1175</v>
      </c>
      <c r="P35" s="224"/>
      <c r="Q35" s="33">
        <f t="shared" si="9"/>
        <v>2.9375</v>
      </c>
      <c r="R35" s="218"/>
      <c r="Y35" s="18"/>
    </row>
    <row r="36" spans="2:25" x14ac:dyDescent="0.25">
      <c r="I36" s="18">
        <f>SUM(I3:I35)/33</f>
        <v>0.45296225804846485</v>
      </c>
      <c r="J36" s="34">
        <f>SUM(J3:J35)</f>
        <v>258</v>
      </c>
      <c r="K36" s="1"/>
      <c r="L36" s="2">
        <f>SUM(L3:L35)</f>
        <v>60055</v>
      </c>
      <c r="M36" s="1"/>
      <c r="N36" s="2">
        <f>SUM(N3:N35)</f>
        <v>109840</v>
      </c>
      <c r="O36" s="1"/>
      <c r="P36" s="2">
        <f>SUM(P3:P35)</f>
        <v>49785</v>
      </c>
      <c r="Q36" s="33">
        <f>SUM(Q3:Q35)/J36</f>
        <v>0.4684825963264217</v>
      </c>
    </row>
    <row r="38" spans="2:25" x14ac:dyDescent="0.25">
      <c r="I38" s="18">
        <f>SUM(I18:I35)/18</f>
        <v>0.41805555555555546</v>
      </c>
      <c r="Q38" s="33">
        <f>SUM(Q18:Q35)/90</f>
        <v>0.41805555555555557</v>
      </c>
    </row>
  </sheetData>
  <mergeCells count="33">
    <mergeCell ref="O2:P2"/>
    <mergeCell ref="K2:L2"/>
    <mergeCell ref="M2:N2"/>
    <mergeCell ref="P3:P5"/>
    <mergeCell ref="P6:P11"/>
    <mergeCell ref="N3:N5"/>
    <mergeCell ref="N6:N11"/>
    <mergeCell ref="L30:L35"/>
    <mergeCell ref="P24:P29"/>
    <mergeCell ref="P30:P35"/>
    <mergeCell ref="P12:P17"/>
    <mergeCell ref="P18:P23"/>
    <mergeCell ref="N12:N17"/>
    <mergeCell ref="N18:N23"/>
    <mergeCell ref="N24:N29"/>
    <mergeCell ref="L24:L29"/>
    <mergeCell ref="N30:N35"/>
    <mergeCell ref="R30:R35"/>
    <mergeCell ref="B3:B5"/>
    <mergeCell ref="B6:B11"/>
    <mergeCell ref="B12:B17"/>
    <mergeCell ref="B18:B23"/>
    <mergeCell ref="B24:B29"/>
    <mergeCell ref="B30:B35"/>
    <mergeCell ref="R3:R5"/>
    <mergeCell ref="R6:R11"/>
    <mergeCell ref="R12:R17"/>
    <mergeCell ref="R18:R23"/>
    <mergeCell ref="R24:R29"/>
    <mergeCell ref="L6:L11"/>
    <mergeCell ref="L12:L17"/>
    <mergeCell ref="L18:L23"/>
    <mergeCell ref="L3:L5"/>
  </mergeCells>
  <pageMargins left="0.7" right="0.7" top="0.75" bottom="0.75" header="0.3" footer="0.3"/>
  <pageSetup paperSize="9" orientation="portrait" r:id="rId1"/>
  <ignoredErrors>
    <ignoredError sqref="M3 M18 M24 M30 O30 O24 O18 O3 O6 O12 M12 K15 M6 M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6"/>
  <sheetViews>
    <sheetView zoomScale="85" zoomScaleNormal="85" workbookViewId="0">
      <selection activeCell="U42" sqref="U42"/>
    </sheetView>
  </sheetViews>
  <sheetFormatPr defaultRowHeight="15" x14ac:dyDescent="0.25"/>
  <cols>
    <col min="2" max="2" width="4.42578125" customWidth="1"/>
    <col min="3" max="3" width="8.5703125" customWidth="1"/>
    <col min="4" max="4" width="20.85546875" bestFit="1" customWidth="1"/>
    <col min="5" max="5" width="9.85546875" customWidth="1"/>
    <col min="6" max="6" width="11.85546875" customWidth="1"/>
    <col min="7" max="7" width="8.85546875" customWidth="1"/>
    <col min="8" max="8" width="11.140625" customWidth="1"/>
    <col min="9" max="9" width="9.7109375" bestFit="1" customWidth="1"/>
    <col min="11" max="11" width="16.7109375" customWidth="1"/>
    <col min="12" max="12" width="9.85546875" customWidth="1"/>
    <col min="13" max="13" width="16.7109375" customWidth="1"/>
    <col min="14" max="14" width="10.85546875" customWidth="1"/>
    <col min="15" max="16" width="10.28515625" customWidth="1"/>
    <col min="17" max="17" width="9.7109375" bestFit="1" customWidth="1"/>
    <col min="18" max="18" width="5.28515625" customWidth="1"/>
    <col min="19" max="19" width="3.140625" bestFit="1" customWidth="1"/>
    <col min="20" max="20" width="5.7109375" bestFit="1" customWidth="1"/>
    <col min="21" max="21" width="20.140625" bestFit="1" customWidth="1"/>
    <col min="22" max="22" width="19.140625" bestFit="1" customWidth="1"/>
    <col min="23" max="23" width="18.140625" bestFit="1" customWidth="1"/>
    <col min="24" max="24" width="6.5703125" bestFit="1" customWidth="1"/>
  </cols>
  <sheetData>
    <row r="1" spans="2:25" ht="15.75" thickBot="1" x14ac:dyDescent="0.3"/>
    <row r="2" spans="2:25" ht="30.75" thickBot="1" x14ac:dyDescent="0.3">
      <c r="B2" s="7" t="s">
        <v>13</v>
      </c>
      <c r="C2" s="8" t="s">
        <v>12</v>
      </c>
      <c r="D2" s="3" t="s">
        <v>2</v>
      </c>
      <c r="E2" s="3" t="s">
        <v>15</v>
      </c>
      <c r="F2" s="3" t="s">
        <v>16</v>
      </c>
      <c r="G2" s="3" t="s">
        <v>17</v>
      </c>
      <c r="H2" s="3" t="s">
        <v>18</v>
      </c>
      <c r="I2" s="19" t="s">
        <v>19</v>
      </c>
      <c r="J2" s="35" t="s">
        <v>29</v>
      </c>
      <c r="K2" s="225" t="s">
        <v>30</v>
      </c>
      <c r="L2" s="226"/>
      <c r="M2" s="225" t="s">
        <v>31</v>
      </c>
      <c r="N2" s="226"/>
      <c r="O2" s="225" t="s">
        <v>32</v>
      </c>
      <c r="P2" s="226"/>
      <c r="R2" s="17"/>
      <c r="S2" s="6" t="s">
        <v>0</v>
      </c>
      <c r="T2" s="6" t="s">
        <v>40</v>
      </c>
      <c r="U2" s="6">
        <v>1</v>
      </c>
      <c r="V2" s="6">
        <v>2</v>
      </c>
      <c r="W2" s="6">
        <v>3</v>
      </c>
      <c r="X2" s="2"/>
      <c r="Y2" s="17"/>
    </row>
    <row r="3" spans="2:25" x14ac:dyDescent="0.25">
      <c r="B3" s="219">
        <v>1</v>
      </c>
      <c r="C3" s="57">
        <v>11</v>
      </c>
      <c r="D3" s="49" t="s">
        <v>14</v>
      </c>
      <c r="E3" s="45">
        <v>155</v>
      </c>
      <c r="F3" s="45">
        <v>300</v>
      </c>
      <c r="G3" s="10">
        <f>(F3-E3)/E3</f>
        <v>0.93548387096774188</v>
      </c>
      <c r="H3" s="9">
        <f>F3-E3</f>
        <v>145</v>
      </c>
      <c r="I3" s="20">
        <f t="shared" ref="I3:I21" si="0">(F3-E3)/F3</f>
        <v>0.48333333333333334</v>
      </c>
      <c r="J3" s="24">
        <v>8</v>
      </c>
      <c r="K3" s="27">
        <f t="shared" ref="K3:K14" si="1">E3*J3</f>
        <v>1240</v>
      </c>
      <c r="L3" s="222">
        <f>SUM(K3:K5)</f>
        <v>4040</v>
      </c>
      <c r="M3" s="27">
        <f>F3*J3</f>
        <v>2400</v>
      </c>
      <c r="N3" s="222">
        <f>SUM(M3:M5)</f>
        <v>7200</v>
      </c>
      <c r="O3" s="27">
        <f t="shared" ref="O3:O35" si="2">M3-K3</f>
        <v>1160</v>
      </c>
      <c r="P3" s="222">
        <f>SUM(O3:O5)</f>
        <v>3160</v>
      </c>
      <c r="Q3" s="33">
        <f>(I3*J3)</f>
        <v>3.8666666666666667</v>
      </c>
      <c r="R3" s="218"/>
      <c r="S3" s="39">
        <v>1</v>
      </c>
      <c r="T3" s="39">
        <v>180</v>
      </c>
      <c r="U3" s="86" t="s">
        <v>38</v>
      </c>
      <c r="V3" s="37" t="s">
        <v>36</v>
      </c>
      <c r="W3" s="37" t="s">
        <v>35</v>
      </c>
      <c r="X3" s="2"/>
      <c r="Y3" s="18"/>
    </row>
    <row r="4" spans="2:25" x14ac:dyDescent="0.25">
      <c r="B4" s="220"/>
      <c r="C4" s="58">
        <v>13</v>
      </c>
      <c r="D4" s="50" t="s">
        <v>11</v>
      </c>
      <c r="E4" s="40">
        <v>175</v>
      </c>
      <c r="F4" s="40">
        <v>300</v>
      </c>
      <c r="G4" s="14">
        <f t="shared" ref="G4:G11" si="3">(F4-E4)/E4</f>
        <v>0.7142857142857143</v>
      </c>
      <c r="H4" s="13">
        <f t="shared" ref="H4:H11" si="4">F4-E4</f>
        <v>125</v>
      </c>
      <c r="I4" s="21">
        <f t="shared" si="0"/>
        <v>0.41666666666666669</v>
      </c>
      <c r="J4" s="25">
        <v>8</v>
      </c>
      <c r="K4" s="28">
        <f t="shared" si="1"/>
        <v>1400</v>
      </c>
      <c r="L4" s="223"/>
      <c r="M4" s="28">
        <f t="shared" ref="M4:M14" si="5">F4*J4</f>
        <v>2400</v>
      </c>
      <c r="N4" s="223"/>
      <c r="O4" s="28">
        <f t="shared" si="2"/>
        <v>1000</v>
      </c>
      <c r="P4" s="223"/>
      <c r="Q4" s="33">
        <f>(I4*J4)</f>
        <v>3.3333333333333335</v>
      </c>
      <c r="R4" s="218"/>
      <c r="S4" s="95">
        <v>2</v>
      </c>
      <c r="T4" s="95">
        <v>250</v>
      </c>
      <c r="U4" s="96" t="s">
        <v>5</v>
      </c>
      <c r="V4" s="53"/>
      <c r="W4" s="91"/>
      <c r="X4" s="2"/>
      <c r="Y4" s="18"/>
    </row>
    <row r="5" spans="2:25" ht="15.75" thickBot="1" x14ac:dyDescent="0.3">
      <c r="B5" s="221"/>
      <c r="C5" s="59">
        <v>15</v>
      </c>
      <c r="D5" s="60" t="s">
        <v>11</v>
      </c>
      <c r="E5" s="61">
        <v>175</v>
      </c>
      <c r="F5" s="61">
        <v>300</v>
      </c>
      <c r="G5" s="16">
        <f t="shared" si="3"/>
        <v>0.7142857142857143</v>
      </c>
      <c r="H5" s="15">
        <f t="shared" si="4"/>
        <v>125</v>
      </c>
      <c r="I5" s="22">
        <f t="shared" si="0"/>
        <v>0.41666666666666669</v>
      </c>
      <c r="J5" s="26">
        <v>8</v>
      </c>
      <c r="K5" s="29">
        <f t="shared" si="1"/>
        <v>1400</v>
      </c>
      <c r="L5" s="224"/>
      <c r="M5" s="29">
        <f>F5*J5</f>
        <v>2400</v>
      </c>
      <c r="N5" s="224"/>
      <c r="O5" s="29">
        <f t="shared" si="2"/>
        <v>1000</v>
      </c>
      <c r="P5" s="224"/>
      <c r="Q5" s="33">
        <f t="shared" ref="Q5:Q35" si="6">(I5*J5)</f>
        <v>3.3333333333333335</v>
      </c>
      <c r="R5" s="218"/>
      <c r="S5" s="41">
        <v>2</v>
      </c>
      <c r="T5" s="41">
        <v>300</v>
      </c>
      <c r="U5" s="40" t="s">
        <v>14</v>
      </c>
      <c r="V5" s="40" t="s">
        <v>11</v>
      </c>
      <c r="W5" s="40" t="s">
        <v>11</v>
      </c>
      <c r="X5" s="2"/>
      <c r="Y5" s="18"/>
    </row>
    <row r="6" spans="2:25" x14ac:dyDescent="0.25">
      <c r="B6" s="219">
        <v>2</v>
      </c>
      <c r="C6" s="72">
        <v>20</v>
      </c>
      <c r="D6" s="51" t="s">
        <v>43</v>
      </c>
      <c r="E6" s="43">
        <v>240</v>
      </c>
      <c r="F6" s="43">
        <v>500</v>
      </c>
      <c r="G6" s="10">
        <f t="shared" si="3"/>
        <v>1.0833333333333333</v>
      </c>
      <c r="H6" s="9">
        <f t="shared" si="4"/>
        <v>260</v>
      </c>
      <c r="I6" s="20">
        <f t="shared" si="0"/>
        <v>0.52</v>
      </c>
      <c r="J6" s="24">
        <v>19</v>
      </c>
      <c r="K6" s="27">
        <f t="shared" si="1"/>
        <v>4560</v>
      </c>
      <c r="L6" s="222">
        <f>SUM(K6:K11)</f>
        <v>17980</v>
      </c>
      <c r="M6" s="27">
        <f t="shared" si="5"/>
        <v>9500</v>
      </c>
      <c r="N6" s="222">
        <f>SUM(M6:M11)</f>
        <v>35560</v>
      </c>
      <c r="O6" s="27">
        <f t="shared" si="2"/>
        <v>4940</v>
      </c>
      <c r="P6" s="222">
        <f>SUM(O6:O11)</f>
        <v>17580</v>
      </c>
      <c r="Q6" s="33">
        <f t="shared" si="6"/>
        <v>9.8800000000000008</v>
      </c>
      <c r="R6" s="218"/>
      <c r="S6" s="93">
        <v>3</v>
      </c>
      <c r="T6" s="93">
        <v>320</v>
      </c>
      <c r="U6" s="94" t="s">
        <v>33</v>
      </c>
      <c r="V6" s="53"/>
      <c r="W6" s="91"/>
      <c r="X6" s="2"/>
      <c r="Y6" s="1"/>
    </row>
    <row r="7" spans="2:25" x14ac:dyDescent="0.25">
      <c r="B7" s="220"/>
      <c r="C7" s="65">
        <v>21</v>
      </c>
      <c r="D7" s="141" t="s">
        <v>37</v>
      </c>
      <c r="E7" s="142">
        <v>120</v>
      </c>
      <c r="F7" s="142">
        <v>350</v>
      </c>
      <c r="G7" s="14">
        <f t="shared" si="3"/>
        <v>1.9166666666666667</v>
      </c>
      <c r="H7" s="13">
        <f t="shared" si="4"/>
        <v>230</v>
      </c>
      <c r="I7" s="21">
        <f t="shared" si="0"/>
        <v>0.65714285714285714</v>
      </c>
      <c r="J7" s="25">
        <v>8</v>
      </c>
      <c r="K7" s="28">
        <f t="shared" si="1"/>
        <v>960</v>
      </c>
      <c r="L7" s="223"/>
      <c r="M7" s="28">
        <f t="shared" si="5"/>
        <v>2800</v>
      </c>
      <c r="N7" s="223"/>
      <c r="O7" s="28">
        <f t="shared" si="2"/>
        <v>1840</v>
      </c>
      <c r="P7" s="223"/>
      <c r="Q7" s="33">
        <f t="shared" si="6"/>
        <v>5.2571428571428571</v>
      </c>
      <c r="R7" s="218"/>
      <c r="S7" s="64">
        <v>4</v>
      </c>
      <c r="T7" s="64">
        <v>350</v>
      </c>
      <c r="U7" s="64" t="s">
        <v>37</v>
      </c>
      <c r="V7" s="66" t="s">
        <v>28</v>
      </c>
      <c r="W7" s="53"/>
      <c r="X7" s="2"/>
      <c r="Y7" s="18"/>
    </row>
    <row r="8" spans="2:25" x14ac:dyDescent="0.25">
      <c r="B8" s="220"/>
      <c r="C8" s="56">
        <v>22</v>
      </c>
      <c r="D8" s="48" t="s">
        <v>38</v>
      </c>
      <c r="E8" s="37">
        <v>80</v>
      </c>
      <c r="F8" s="37">
        <v>180</v>
      </c>
      <c r="G8" s="14">
        <f t="shared" si="3"/>
        <v>1.25</v>
      </c>
      <c r="H8" s="13">
        <f t="shared" si="4"/>
        <v>100</v>
      </c>
      <c r="I8" s="21">
        <f t="shared" si="0"/>
        <v>0.55555555555555558</v>
      </c>
      <c r="J8" s="25">
        <v>13</v>
      </c>
      <c r="K8" s="28">
        <f t="shared" si="1"/>
        <v>1040</v>
      </c>
      <c r="L8" s="223"/>
      <c r="M8" s="28">
        <f t="shared" si="5"/>
        <v>2340</v>
      </c>
      <c r="N8" s="223"/>
      <c r="O8" s="28">
        <f t="shared" si="2"/>
        <v>1300</v>
      </c>
      <c r="P8" s="223"/>
      <c r="Q8" s="33">
        <f t="shared" si="6"/>
        <v>7.2222222222222223</v>
      </c>
      <c r="R8" s="218"/>
      <c r="S8" s="143">
        <v>5</v>
      </c>
      <c r="T8" s="143">
        <v>400</v>
      </c>
      <c r="U8" s="143" t="s">
        <v>10</v>
      </c>
      <c r="V8" s="143" t="s">
        <v>41</v>
      </c>
      <c r="W8" s="54"/>
      <c r="X8" s="2"/>
      <c r="Y8" s="18"/>
    </row>
    <row r="9" spans="2:25" x14ac:dyDescent="0.25">
      <c r="B9" s="220"/>
      <c r="C9" s="71">
        <v>23</v>
      </c>
      <c r="D9" s="4" t="s">
        <v>4</v>
      </c>
      <c r="E9" s="5">
        <v>340</v>
      </c>
      <c r="F9" s="5">
        <v>580</v>
      </c>
      <c r="G9" s="14">
        <f t="shared" si="3"/>
        <v>0.70588235294117652</v>
      </c>
      <c r="H9" s="13">
        <f t="shared" si="4"/>
        <v>240</v>
      </c>
      <c r="I9" s="21">
        <f t="shared" si="0"/>
        <v>0.41379310344827586</v>
      </c>
      <c r="J9" s="25">
        <v>11</v>
      </c>
      <c r="K9" s="28">
        <f t="shared" si="1"/>
        <v>3740</v>
      </c>
      <c r="L9" s="223"/>
      <c r="M9" s="28">
        <f t="shared" si="5"/>
        <v>6380</v>
      </c>
      <c r="N9" s="223"/>
      <c r="O9" s="28">
        <f t="shared" si="2"/>
        <v>2640</v>
      </c>
      <c r="P9" s="223"/>
      <c r="Q9" s="33">
        <f t="shared" si="6"/>
        <v>4.5517241379310347</v>
      </c>
      <c r="R9" s="218"/>
      <c r="S9" s="44">
        <v>6</v>
      </c>
      <c r="T9" s="44">
        <v>500</v>
      </c>
      <c r="U9" s="43" t="s">
        <v>43</v>
      </c>
      <c r="V9" s="43" t="s">
        <v>1</v>
      </c>
      <c r="W9" s="54"/>
      <c r="X9" s="2"/>
      <c r="Y9" s="18"/>
    </row>
    <row r="10" spans="2:25" x14ac:dyDescent="0.25">
      <c r="B10" s="220"/>
      <c r="C10" s="102">
        <v>24</v>
      </c>
      <c r="D10" s="140" t="s">
        <v>33</v>
      </c>
      <c r="E10" s="94">
        <v>180</v>
      </c>
      <c r="F10" s="94">
        <v>320</v>
      </c>
      <c r="G10" s="14">
        <f t="shared" si="3"/>
        <v>0.77777777777777779</v>
      </c>
      <c r="H10" s="13">
        <f t="shared" si="4"/>
        <v>140</v>
      </c>
      <c r="I10" s="21">
        <f t="shared" si="0"/>
        <v>0.4375</v>
      </c>
      <c r="J10" s="25">
        <v>11</v>
      </c>
      <c r="K10" s="28">
        <f t="shared" si="1"/>
        <v>1980</v>
      </c>
      <c r="L10" s="223"/>
      <c r="M10" s="28">
        <f t="shared" si="5"/>
        <v>3520</v>
      </c>
      <c r="N10" s="223"/>
      <c r="O10" s="28">
        <f t="shared" si="2"/>
        <v>1540</v>
      </c>
      <c r="P10" s="223"/>
      <c r="Q10" s="33">
        <f t="shared" si="6"/>
        <v>4.8125</v>
      </c>
      <c r="R10" s="218"/>
      <c r="S10" s="39">
        <v>7</v>
      </c>
      <c r="T10" s="39">
        <v>550</v>
      </c>
      <c r="U10" s="37" t="s">
        <v>3</v>
      </c>
      <c r="V10" s="39" t="s">
        <v>27</v>
      </c>
      <c r="W10" s="39" t="s">
        <v>39</v>
      </c>
      <c r="X10" s="2"/>
    </row>
    <row r="11" spans="2:25" ht="15.75" thickBot="1" x14ac:dyDescent="0.3">
      <c r="B11" s="221"/>
      <c r="C11" s="144">
        <v>25</v>
      </c>
      <c r="D11" s="145" t="s">
        <v>7</v>
      </c>
      <c r="E11" s="146">
        <v>300</v>
      </c>
      <c r="F11" s="146">
        <v>580</v>
      </c>
      <c r="G11" s="16">
        <f t="shared" si="3"/>
        <v>0.93333333333333335</v>
      </c>
      <c r="H11" s="15">
        <f t="shared" si="4"/>
        <v>280</v>
      </c>
      <c r="I11" s="22">
        <f t="shared" si="0"/>
        <v>0.48275862068965519</v>
      </c>
      <c r="J11" s="26">
        <v>19</v>
      </c>
      <c r="K11" s="29">
        <f t="shared" si="1"/>
        <v>5700</v>
      </c>
      <c r="L11" s="224"/>
      <c r="M11" s="29">
        <f t="shared" si="5"/>
        <v>11020</v>
      </c>
      <c r="N11" s="224"/>
      <c r="O11" s="29">
        <f t="shared" si="2"/>
        <v>5320</v>
      </c>
      <c r="P11" s="224"/>
      <c r="Q11" s="33">
        <f t="shared" si="6"/>
        <v>9.1724137931034484</v>
      </c>
      <c r="R11" s="218"/>
      <c r="S11" s="42">
        <v>8</v>
      </c>
      <c r="T11" s="42">
        <v>580</v>
      </c>
      <c r="U11" s="42" t="s">
        <v>8</v>
      </c>
      <c r="V11" s="42" t="s">
        <v>4</v>
      </c>
      <c r="W11" s="42" t="s">
        <v>7</v>
      </c>
      <c r="X11" s="2"/>
      <c r="Y11" s="1"/>
    </row>
    <row r="12" spans="2:25" x14ac:dyDescent="0.25">
      <c r="B12" s="219">
        <v>3</v>
      </c>
      <c r="C12" s="72">
        <v>30</v>
      </c>
      <c r="D12" s="73" t="s">
        <v>1</v>
      </c>
      <c r="E12" s="74">
        <v>280</v>
      </c>
      <c r="F12" s="74">
        <v>500</v>
      </c>
      <c r="G12" s="10">
        <f>(F12-E12)/E12</f>
        <v>0.7857142857142857</v>
      </c>
      <c r="H12" s="9">
        <f>F12-E12</f>
        <v>220</v>
      </c>
      <c r="I12" s="20">
        <f t="shared" si="0"/>
        <v>0.44</v>
      </c>
      <c r="J12" s="24">
        <v>13</v>
      </c>
      <c r="K12" s="27">
        <f t="shared" si="1"/>
        <v>3640</v>
      </c>
      <c r="L12" s="222">
        <f>SUM(K12:K17)</f>
        <v>15330</v>
      </c>
      <c r="M12" s="27">
        <f t="shared" si="5"/>
        <v>6500</v>
      </c>
      <c r="N12" s="222">
        <f>SUM(M12:M17)</f>
        <v>36260</v>
      </c>
      <c r="O12" s="27">
        <f t="shared" si="2"/>
        <v>2860</v>
      </c>
      <c r="P12" s="222">
        <f>SUM(O12:O17)</f>
        <v>20930</v>
      </c>
      <c r="Q12" s="33">
        <f t="shared" si="6"/>
        <v>5.72</v>
      </c>
      <c r="R12" s="218"/>
      <c r="S12" s="41">
        <v>9</v>
      </c>
      <c r="T12" s="41">
        <v>600</v>
      </c>
      <c r="U12" s="40" t="s">
        <v>6</v>
      </c>
      <c r="V12" s="41" t="s">
        <v>44</v>
      </c>
      <c r="W12" s="52"/>
      <c r="X12" s="2"/>
      <c r="Y12" s="18"/>
    </row>
    <row r="13" spans="2:25" x14ac:dyDescent="0.25">
      <c r="B13" s="220"/>
      <c r="C13" s="71">
        <v>31</v>
      </c>
      <c r="D13" s="115" t="s">
        <v>8</v>
      </c>
      <c r="E13" s="116">
        <v>325</v>
      </c>
      <c r="F13" s="116">
        <v>580</v>
      </c>
      <c r="G13" s="31">
        <f t="shared" ref="G13:G35" si="7">(F13-E13)/E13</f>
        <v>0.7846153846153846</v>
      </c>
      <c r="H13" s="30">
        <f t="shared" ref="H13:H35" si="8">F13-E13</f>
        <v>255</v>
      </c>
      <c r="I13" s="32">
        <f t="shared" si="0"/>
        <v>0.43965517241379309</v>
      </c>
      <c r="J13" s="25">
        <v>13</v>
      </c>
      <c r="K13" s="28">
        <f t="shared" si="1"/>
        <v>4225</v>
      </c>
      <c r="L13" s="223"/>
      <c r="M13" s="28">
        <f t="shared" si="5"/>
        <v>7540</v>
      </c>
      <c r="N13" s="223"/>
      <c r="O13" s="28">
        <f t="shared" si="2"/>
        <v>3315</v>
      </c>
      <c r="P13" s="223"/>
      <c r="Q13" s="33">
        <f t="shared" si="6"/>
        <v>5.7155172413793105</v>
      </c>
      <c r="R13" s="218"/>
      <c r="S13" s="1"/>
      <c r="T13" s="1"/>
      <c r="U13" s="2"/>
      <c r="V13" s="2"/>
      <c r="W13" s="18"/>
      <c r="X13" s="2"/>
      <c r="Y13" s="18"/>
    </row>
    <row r="14" spans="2:25" x14ac:dyDescent="0.25">
      <c r="B14" s="220"/>
      <c r="C14" s="65">
        <v>32</v>
      </c>
      <c r="D14" s="105" t="s">
        <v>28</v>
      </c>
      <c r="E14" s="66">
        <v>165</v>
      </c>
      <c r="F14" s="66">
        <v>350</v>
      </c>
      <c r="G14" s="14">
        <f t="shared" si="7"/>
        <v>1.1212121212121211</v>
      </c>
      <c r="H14" s="13">
        <f t="shared" si="8"/>
        <v>185</v>
      </c>
      <c r="I14" s="21">
        <f t="shared" si="0"/>
        <v>0.52857142857142858</v>
      </c>
      <c r="J14" s="25">
        <v>13</v>
      </c>
      <c r="K14" s="28">
        <f t="shared" si="1"/>
        <v>2145</v>
      </c>
      <c r="L14" s="223"/>
      <c r="M14" s="28">
        <f t="shared" si="5"/>
        <v>4550</v>
      </c>
      <c r="N14" s="223"/>
      <c r="O14" s="28">
        <f t="shared" si="2"/>
        <v>2405</v>
      </c>
      <c r="P14" s="223"/>
      <c r="Q14" s="33">
        <f t="shared" si="6"/>
        <v>6.8714285714285719</v>
      </c>
      <c r="R14" s="218"/>
      <c r="S14" s="83"/>
      <c r="T14" s="83"/>
      <c r="U14" s="83"/>
      <c r="V14" s="83"/>
      <c r="W14" s="83"/>
      <c r="X14" s="83"/>
      <c r="Y14" s="18"/>
    </row>
    <row r="15" spans="2:25" x14ac:dyDescent="0.25">
      <c r="B15" s="220"/>
      <c r="C15" s="56">
        <v>33</v>
      </c>
      <c r="D15" s="47" t="s">
        <v>36</v>
      </c>
      <c r="E15" s="38">
        <v>80</v>
      </c>
      <c r="F15" s="38">
        <v>180</v>
      </c>
      <c r="G15" s="31">
        <f t="shared" si="7"/>
        <v>1.25</v>
      </c>
      <c r="H15" s="30">
        <f t="shared" si="8"/>
        <v>100</v>
      </c>
      <c r="I15" s="32">
        <f t="shared" si="0"/>
        <v>0.55555555555555558</v>
      </c>
      <c r="J15" s="25">
        <v>19</v>
      </c>
      <c r="K15" s="28">
        <f>E15*J15</f>
        <v>1520</v>
      </c>
      <c r="L15" s="223"/>
      <c r="M15" s="28">
        <f>F6*J15</f>
        <v>9500</v>
      </c>
      <c r="N15" s="223"/>
      <c r="O15" s="28">
        <f t="shared" si="2"/>
        <v>7980</v>
      </c>
      <c r="P15" s="223"/>
      <c r="Q15" s="33">
        <f t="shared" si="6"/>
        <v>10.555555555555555</v>
      </c>
      <c r="R15" s="218"/>
      <c r="S15" s="80"/>
      <c r="T15" s="80"/>
      <c r="U15" s="122"/>
      <c r="V15" s="84"/>
      <c r="W15" s="84"/>
      <c r="X15" s="84"/>
      <c r="Y15" s="18"/>
    </row>
    <row r="16" spans="2:25" x14ac:dyDescent="0.25">
      <c r="B16" s="220"/>
      <c r="C16" s="56">
        <v>34</v>
      </c>
      <c r="D16" s="48" t="s">
        <v>35</v>
      </c>
      <c r="E16" s="37">
        <v>80</v>
      </c>
      <c r="F16" s="37">
        <v>180</v>
      </c>
      <c r="G16" s="14">
        <f t="shared" si="7"/>
        <v>1.25</v>
      </c>
      <c r="H16" s="13">
        <f t="shared" si="8"/>
        <v>100</v>
      </c>
      <c r="I16" s="21">
        <f t="shared" si="0"/>
        <v>0.55555555555555558</v>
      </c>
      <c r="J16" s="25">
        <v>19</v>
      </c>
      <c r="K16" s="28">
        <f t="shared" ref="K16:K35" si="9">E16*J16</f>
        <v>1520</v>
      </c>
      <c r="L16" s="223"/>
      <c r="M16" s="28">
        <f t="shared" ref="M16:M35" si="10">F16*J16</f>
        <v>3420</v>
      </c>
      <c r="N16" s="223"/>
      <c r="O16" s="28">
        <f t="shared" si="2"/>
        <v>1900</v>
      </c>
      <c r="P16" s="223"/>
      <c r="Q16" s="33">
        <f t="shared" si="6"/>
        <v>10.555555555555555</v>
      </c>
      <c r="R16" s="218"/>
      <c r="S16" s="80"/>
      <c r="T16" s="80"/>
      <c r="U16" s="84"/>
      <c r="V16" s="84"/>
      <c r="W16" s="84"/>
      <c r="X16" s="84"/>
      <c r="Y16" s="18"/>
    </row>
    <row r="17" spans="2:25" ht="15.75" thickBot="1" x14ac:dyDescent="0.3">
      <c r="B17" s="221"/>
      <c r="C17" s="97">
        <v>35</v>
      </c>
      <c r="D17" s="98" t="s">
        <v>5</v>
      </c>
      <c r="E17" s="99">
        <v>120</v>
      </c>
      <c r="F17" s="99">
        <v>250</v>
      </c>
      <c r="G17" s="12">
        <f t="shared" si="7"/>
        <v>1.0833333333333333</v>
      </c>
      <c r="H17" s="11">
        <f t="shared" si="8"/>
        <v>130</v>
      </c>
      <c r="I17" s="23">
        <f t="shared" si="0"/>
        <v>0.52</v>
      </c>
      <c r="J17" s="26">
        <v>19</v>
      </c>
      <c r="K17" s="29">
        <f t="shared" si="9"/>
        <v>2280</v>
      </c>
      <c r="L17" s="224"/>
      <c r="M17" s="29">
        <f t="shared" si="10"/>
        <v>4750</v>
      </c>
      <c r="N17" s="224"/>
      <c r="O17" s="29">
        <f t="shared" si="2"/>
        <v>2470</v>
      </c>
      <c r="P17" s="224"/>
      <c r="Q17" s="33">
        <f t="shared" si="6"/>
        <v>9.8800000000000008</v>
      </c>
      <c r="R17" s="218"/>
      <c r="S17" s="80"/>
      <c r="T17" s="80"/>
      <c r="U17" s="80"/>
      <c r="V17" s="84"/>
      <c r="W17" s="84"/>
      <c r="X17" s="84"/>
      <c r="Y17" s="18"/>
    </row>
    <row r="18" spans="2:25" x14ac:dyDescent="0.25">
      <c r="B18" s="219">
        <v>4</v>
      </c>
      <c r="C18" s="55">
        <v>40</v>
      </c>
      <c r="D18" s="46" t="s">
        <v>3</v>
      </c>
      <c r="E18" s="36">
        <v>360</v>
      </c>
      <c r="F18" s="36">
        <v>550</v>
      </c>
      <c r="G18" s="10">
        <f t="shared" si="7"/>
        <v>0.52777777777777779</v>
      </c>
      <c r="H18" s="9">
        <f t="shared" si="8"/>
        <v>190</v>
      </c>
      <c r="I18" s="20">
        <f t="shared" si="0"/>
        <v>0.34545454545454546</v>
      </c>
      <c r="J18" s="24">
        <v>5</v>
      </c>
      <c r="K18" s="27">
        <f t="shared" si="9"/>
        <v>1800</v>
      </c>
      <c r="L18" s="222">
        <f>SUM(K18:K23)</f>
        <v>9350</v>
      </c>
      <c r="M18" s="27">
        <f t="shared" si="10"/>
        <v>2750</v>
      </c>
      <c r="N18" s="222">
        <f>SUM(M18:M23)</f>
        <v>16500</v>
      </c>
      <c r="O18" s="27">
        <f t="shared" si="2"/>
        <v>950</v>
      </c>
      <c r="P18" s="222">
        <f>SUM(O18:O23)</f>
        <v>7150</v>
      </c>
      <c r="Q18" s="33">
        <f t="shared" si="6"/>
        <v>1.7272727272727273</v>
      </c>
      <c r="R18" s="218"/>
      <c r="S18" s="80"/>
      <c r="T18" s="80"/>
      <c r="U18" s="80"/>
      <c r="V18" s="80"/>
      <c r="W18" s="80"/>
      <c r="X18" s="84"/>
      <c r="Y18" s="18"/>
    </row>
    <row r="19" spans="2:25" x14ac:dyDescent="0.25">
      <c r="B19" s="220"/>
      <c r="C19" s="56">
        <v>41</v>
      </c>
      <c r="D19" s="48" t="s">
        <v>3</v>
      </c>
      <c r="E19" s="37">
        <v>360</v>
      </c>
      <c r="F19" s="37">
        <v>550</v>
      </c>
      <c r="G19" s="14">
        <f t="shared" si="7"/>
        <v>0.52777777777777779</v>
      </c>
      <c r="H19" s="13">
        <f t="shared" si="8"/>
        <v>190</v>
      </c>
      <c r="I19" s="21">
        <f t="shared" si="0"/>
        <v>0.34545454545454546</v>
      </c>
      <c r="J19" s="25">
        <v>5</v>
      </c>
      <c r="K19" s="28">
        <f t="shared" si="9"/>
        <v>1800</v>
      </c>
      <c r="L19" s="223"/>
      <c r="M19" s="28">
        <f t="shared" si="10"/>
        <v>2750</v>
      </c>
      <c r="N19" s="223"/>
      <c r="O19" s="28">
        <f t="shared" si="2"/>
        <v>950</v>
      </c>
      <c r="P19" s="223"/>
      <c r="Q19" s="33">
        <f t="shared" si="6"/>
        <v>1.7272727272727273</v>
      </c>
      <c r="R19" s="218"/>
      <c r="S19" s="80"/>
      <c r="T19" s="80"/>
      <c r="U19" s="84"/>
      <c r="V19" s="84"/>
      <c r="W19" s="85"/>
      <c r="X19" s="84"/>
      <c r="Y19" s="18"/>
    </row>
    <row r="20" spans="2:25" x14ac:dyDescent="0.25">
      <c r="B20" s="220"/>
      <c r="C20" s="56">
        <v>42</v>
      </c>
      <c r="D20" s="48" t="s">
        <v>27</v>
      </c>
      <c r="E20" s="37">
        <v>255</v>
      </c>
      <c r="F20" s="37">
        <v>550</v>
      </c>
      <c r="G20" s="14">
        <f t="shared" si="7"/>
        <v>1.1568627450980393</v>
      </c>
      <c r="H20" s="13">
        <f t="shared" si="8"/>
        <v>295</v>
      </c>
      <c r="I20" s="21">
        <f t="shared" si="0"/>
        <v>0.53636363636363638</v>
      </c>
      <c r="J20" s="25">
        <v>5</v>
      </c>
      <c r="K20" s="28">
        <f t="shared" si="9"/>
        <v>1275</v>
      </c>
      <c r="L20" s="223"/>
      <c r="M20" s="28">
        <f t="shared" si="10"/>
        <v>2750</v>
      </c>
      <c r="N20" s="223"/>
      <c r="O20" s="28">
        <f t="shared" si="2"/>
        <v>1475</v>
      </c>
      <c r="P20" s="223"/>
      <c r="Q20" s="33">
        <f t="shared" si="6"/>
        <v>2.6818181818181817</v>
      </c>
      <c r="R20" s="218"/>
      <c r="S20" s="80"/>
      <c r="T20" s="80"/>
      <c r="U20" s="84"/>
      <c r="V20" s="84"/>
      <c r="W20" s="85"/>
      <c r="X20" s="84"/>
      <c r="Y20" s="18"/>
    </row>
    <row r="21" spans="2:25" x14ac:dyDescent="0.25">
      <c r="B21" s="220"/>
      <c r="C21" s="56">
        <v>43</v>
      </c>
      <c r="D21" s="48" t="s">
        <v>27</v>
      </c>
      <c r="E21" s="37">
        <v>255</v>
      </c>
      <c r="F21" s="37">
        <v>550</v>
      </c>
      <c r="G21" s="14">
        <f t="shared" si="7"/>
        <v>1.1568627450980393</v>
      </c>
      <c r="H21" s="13">
        <f t="shared" si="8"/>
        <v>295</v>
      </c>
      <c r="I21" s="21">
        <f t="shared" si="0"/>
        <v>0.53636363636363638</v>
      </c>
      <c r="J21" s="25">
        <v>5</v>
      </c>
      <c r="K21" s="28">
        <f t="shared" si="9"/>
        <v>1275</v>
      </c>
      <c r="L21" s="223"/>
      <c r="M21" s="28">
        <f t="shared" si="10"/>
        <v>2750</v>
      </c>
      <c r="N21" s="223"/>
      <c r="O21" s="28">
        <f t="shared" si="2"/>
        <v>1475</v>
      </c>
      <c r="P21" s="223"/>
      <c r="Q21" s="33">
        <f t="shared" si="6"/>
        <v>2.6818181818181817</v>
      </c>
      <c r="R21" s="218"/>
      <c r="S21" s="80"/>
      <c r="T21" s="80"/>
      <c r="U21" s="84"/>
      <c r="V21" s="122"/>
      <c r="W21" s="122"/>
      <c r="X21" s="84"/>
      <c r="Y21" s="18"/>
    </row>
    <row r="22" spans="2:25" x14ac:dyDescent="0.25">
      <c r="B22" s="220"/>
      <c r="C22" s="56">
        <v>44</v>
      </c>
      <c r="D22" s="48" t="s">
        <v>39</v>
      </c>
      <c r="E22" s="37">
        <v>280</v>
      </c>
      <c r="F22" s="37">
        <v>550</v>
      </c>
      <c r="G22" s="14">
        <f t="shared" si="7"/>
        <v>0.9642857142857143</v>
      </c>
      <c r="H22" s="13">
        <f t="shared" si="8"/>
        <v>270</v>
      </c>
      <c r="I22" s="21">
        <f t="shared" ref="I22:I35" si="11">(F22-E22)/F22</f>
        <v>0.49090909090909091</v>
      </c>
      <c r="J22" s="25">
        <v>5</v>
      </c>
      <c r="K22" s="28">
        <f t="shared" si="9"/>
        <v>1400</v>
      </c>
      <c r="L22" s="223"/>
      <c r="M22" s="28">
        <f t="shared" si="10"/>
        <v>2750</v>
      </c>
      <c r="N22" s="223"/>
      <c r="O22" s="28">
        <f t="shared" si="2"/>
        <v>1350</v>
      </c>
      <c r="P22" s="223"/>
      <c r="Q22" s="33">
        <f t="shared" si="6"/>
        <v>2.4545454545454546</v>
      </c>
      <c r="R22" s="218"/>
      <c r="S22" s="80"/>
      <c r="T22" s="80"/>
      <c r="U22" s="80"/>
      <c r="V22" s="80"/>
      <c r="W22" s="80"/>
      <c r="X22" s="84"/>
      <c r="Y22" s="18"/>
    </row>
    <row r="23" spans="2:25" ht="15.75" thickBot="1" x14ac:dyDescent="0.3">
      <c r="B23" s="221"/>
      <c r="C23" s="88">
        <v>45</v>
      </c>
      <c r="D23" s="89" t="s">
        <v>3</v>
      </c>
      <c r="E23" s="90">
        <v>360</v>
      </c>
      <c r="F23" s="90">
        <v>550</v>
      </c>
      <c r="G23" s="12">
        <f t="shared" si="7"/>
        <v>0.52777777777777779</v>
      </c>
      <c r="H23" s="11">
        <f t="shared" si="8"/>
        <v>190</v>
      </c>
      <c r="I23" s="23">
        <f t="shared" si="11"/>
        <v>0.34545454545454546</v>
      </c>
      <c r="J23" s="26">
        <v>5</v>
      </c>
      <c r="K23" s="29">
        <f t="shared" si="9"/>
        <v>1800</v>
      </c>
      <c r="L23" s="224"/>
      <c r="M23" s="29">
        <f t="shared" si="10"/>
        <v>2750</v>
      </c>
      <c r="N23" s="224"/>
      <c r="O23" s="29">
        <f t="shared" si="2"/>
        <v>950</v>
      </c>
      <c r="P23" s="224"/>
      <c r="Q23" s="33">
        <f t="shared" si="6"/>
        <v>1.7272727272727273</v>
      </c>
      <c r="R23" s="218"/>
      <c r="S23" s="80"/>
      <c r="T23" s="80"/>
      <c r="U23" s="84"/>
      <c r="V23" s="80"/>
      <c r="W23" s="80"/>
      <c r="X23" s="84"/>
      <c r="Y23" s="18"/>
    </row>
    <row r="24" spans="2:25" x14ac:dyDescent="0.25">
      <c r="B24" s="219">
        <v>5</v>
      </c>
      <c r="C24" s="117">
        <v>50</v>
      </c>
      <c r="D24" s="49" t="s">
        <v>6</v>
      </c>
      <c r="E24" s="45">
        <v>370</v>
      </c>
      <c r="F24" s="45">
        <v>600</v>
      </c>
      <c r="G24" s="10">
        <f t="shared" si="7"/>
        <v>0.6216216216216216</v>
      </c>
      <c r="H24" s="9">
        <f t="shared" si="8"/>
        <v>230</v>
      </c>
      <c r="I24" s="20">
        <f t="shared" si="11"/>
        <v>0.38333333333333336</v>
      </c>
      <c r="J24" s="24">
        <v>5</v>
      </c>
      <c r="K24" s="27">
        <f t="shared" si="9"/>
        <v>1850</v>
      </c>
      <c r="L24" s="222">
        <f>SUM(K24:K29)</f>
        <v>11175</v>
      </c>
      <c r="M24" s="27">
        <f t="shared" si="10"/>
        <v>3000</v>
      </c>
      <c r="N24" s="222">
        <f>SUM(M24:M29)</f>
        <v>18300</v>
      </c>
      <c r="O24" s="27">
        <f t="shared" si="2"/>
        <v>1150</v>
      </c>
      <c r="P24" s="222">
        <f>SUM(O24:O29)</f>
        <v>7125</v>
      </c>
      <c r="Q24" s="33">
        <f t="shared" si="6"/>
        <v>1.9166666666666667</v>
      </c>
      <c r="R24" s="218"/>
      <c r="S24" s="80"/>
      <c r="T24" s="80"/>
      <c r="U24" s="84"/>
      <c r="V24" s="84"/>
      <c r="W24" s="80"/>
      <c r="X24" s="84"/>
      <c r="Y24" s="18"/>
    </row>
    <row r="25" spans="2:25" x14ac:dyDescent="0.25">
      <c r="B25" s="220"/>
      <c r="C25" s="77">
        <v>51</v>
      </c>
      <c r="D25" s="50" t="s">
        <v>6</v>
      </c>
      <c r="E25" s="40">
        <v>370</v>
      </c>
      <c r="F25" s="40">
        <v>600</v>
      </c>
      <c r="G25" s="14">
        <f t="shared" si="7"/>
        <v>0.6216216216216216</v>
      </c>
      <c r="H25" s="13">
        <f t="shared" si="8"/>
        <v>230</v>
      </c>
      <c r="I25" s="21">
        <f t="shared" si="11"/>
        <v>0.38333333333333336</v>
      </c>
      <c r="J25" s="25">
        <v>5</v>
      </c>
      <c r="K25" s="28">
        <f t="shared" si="9"/>
        <v>1850</v>
      </c>
      <c r="L25" s="223"/>
      <c r="M25" s="28">
        <f t="shared" si="10"/>
        <v>3000</v>
      </c>
      <c r="N25" s="223"/>
      <c r="O25" s="28">
        <f t="shared" si="2"/>
        <v>1150</v>
      </c>
      <c r="P25" s="223"/>
      <c r="Q25" s="33">
        <f t="shared" si="6"/>
        <v>1.9166666666666667</v>
      </c>
      <c r="R25" s="218"/>
      <c r="Y25" s="18"/>
    </row>
    <row r="26" spans="2:25" x14ac:dyDescent="0.25">
      <c r="B26" s="220"/>
      <c r="C26" s="77">
        <v>52</v>
      </c>
      <c r="D26" s="50" t="s">
        <v>6</v>
      </c>
      <c r="E26" s="40">
        <v>370</v>
      </c>
      <c r="F26" s="40">
        <v>600</v>
      </c>
      <c r="G26" s="14">
        <f t="shared" si="7"/>
        <v>0.6216216216216216</v>
      </c>
      <c r="H26" s="13">
        <f t="shared" si="8"/>
        <v>230</v>
      </c>
      <c r="I26" s="21">
        <f t="shared" si="11"/>
        <v>0.38333333333333336</v>
      </c>
      <c r="J26" s="25">
        <v>5</v>
      </c>
      <c r="K26" s="28">
        <f t="shared" si="9"/>
        <v>1850</v>
      </c>
      <c r="L26" s="223"/>
      <c r="M26" s="28">
        <f t="shared" si="10"/>
        <v>3000</v>
      </c>
      <c r="N26" s="223"/>
      <c r="O26" s="28">
        <f t="shared" si="2"/>
        <v>1150</v>
      </c>
      <c r="P26" s="223"/>
      <c r="Q26" s="33">
        <f t="shared" si="6"/>
        <v>1.9166666666666667</v>
      </c>
      <c r="R26" s="218"/>
      <c r="Y26" s="18"/>
    </row>
    <row r="27" spans="2:25" x14ac:dyDescent="0.25">
      <c r="B27" s="220"/>
      <c r="C27" s="77">
        <v>53</v>
      </c>
      <c r="D27" s="50" t="s">
        <v>34</v>
      </c>
      <c r="E27" s="40">
        <v>375</v>
      </c>
      <c r="F27" s="40">
        <v>620</v>
      </c>
      <c r="G27" s="14">
        <f t="shared" si="7"/>
        <v>0.65333333333333332</v>
      </c>
      <c r="H27" s="13">
        <f t="shared" si="8"/>
        <v>245</v>
      </c>
      <c r="I27" s="21">
        <f t="shared" si="11"/>
        <v>0.39516129032258063</v>
      </c>
      <c r="J27" s="25">
        <v>5</v>
      </c>
      <c r="K27" s="28">
        <f t="shared" si="9"/>
        <v>1875</v>
      </c>
      <c r="L27" s="223"/>
      <c r="M27" s="28">
        <f t="shared" si="10"/>
        <v>3100</v>
      </c>
      <c r="N27" s="223"/>
      <c r="O27" s="28">
        <f t="shared" si="2"/>
        <v>1225</v>
      </c>
      <c r="P27" s="223"/>
      <c r="Q27" s="33">
        <f t="shared" si="6"/>
        <v>1.975806451612903</v>
      </c>
      <c r="R27" s="218"/>
      <c r="Y27" s="18"/>
    </row>
    <row r="28" spans="2:25" x14ac:dyDescent="0.25">
      <c r="B28" s="220"/>
      <c r="C28" s="77">
        <v>54</v>
      </c>
      <c r="D28" s="78" t="s">
        <v>34</v>
      </c>
      <c r="E28" s="40">
        <v>375</v>
      </c>
      <c r="F28" s="40">
        <v>620</v>
      </c>
      <c r="G28" s="14">
        <f t="shared" si="7"/>
        <v>0.65333333333333332</v>
      </c>
      <c r="H28" s="13">
        <f t="shared" si="8"/>
        <v>245</v>
      </c>
      <c r="I28" s="21">
        <f t="shared" si="11"/>
        <v>0.39516129032258063</v>
      </c>
      <c r="J28" s="25">
        <v>5</v>
      </c>
      <c r="K28" s="28">
        <f t="shared" si="9"/>
        <v>1875</v>
      </c>
      <c r="L28" s="223"/>
      <c r="M28" s="28">
        <f t="shared" si="10"/>
        <v>3100</v>
      </c>
      <c r="N28" s="223"/>
      <c r="O28" s="28">
        <f t="shared" si="2"/>
        <v>1225</v>
      </c>
      <c r="P28" s="223"/>
      <c r="Q28" s="33">
        <f t="shared" si="6"/>
        <v>1.975806451612903</v>
      </c>
      <c r="R28" s="218"/>
      <c r="Y28" s="18"/>
    </row>
    <row r="29" spans="2:25" ht="15.75" thickBot="1" x14ac:dyDescent="0.3">
      <c r="B29" s="221"/>
      <c r="C29" s="62">
        <v>55</v>
      </c>
      <c r="D29" s="63" t="s">
        <v>34</v>
      </c>
      <c r="E29" s="79">
        <v>375</v>
      </c>
      <c r="F29" s="79">
        <v>620</v>
      </c>
      <c r="G29" s="12">
        <f t="shared" si="7"/>
        <v>0.65333333333333332</v>
      </c>
      <c r="H29" s="11">
        <f t="shared" si="8"/>
        <v>245</v>
      </c>
      <c r="I29" s="23">
        <f t="shared" si="11"/>
        <v>0.39516129032258063</v>
      </c>
      <c r="J29" s="26">
        <v>5</v>
      </c>
      <c r="K29" s="29">
        <f t="shared" si="9"/>
        <v>1875</v>
      </c>
      <c r="L29" s="224"/>
      <c r="M29" s="29">
        <f t="shared" si="10"/>
        <v>3100</v>
      </c>
      <c r="N29" s="224"/>
      <c r="O29" s="29">
        <f t="shared" si="2"/>
        <v>1225</v>
      </c>
      <c r="P29" s="224"/>
      <c r="Q29" s="33">
        <f t="shared" si="6"/>
        <v>1.975806451612903</v>
      </c>
      <c r="R29" s="218"/>
      <c r="Y29" s="18"/>
    </row>
    <row r="30" spans="2:25" x14ac:dyDescent="0.25">
      <c r="B30" s="219">
        <v>6</v>
      </c>
      <c r="C30" s="69">
        <v>60</v>
      </c>
      <c r="D30" s="118" t="s">
        <v>20</v>
      </c>
      <c r="E30" s="70">
        <v>165</v>
      </c>
      <c r="F30" s="70">
        <v>400</v>
      </c>
      <c r="G30" s="10">
        <f t="shared" si="7"/>
        <v>1.4242424242424243</v>
      </c>
      <c r="H30" s="9">
        <f t="shared" si="8"/>
        <v>235</v>
      </c>
      <c r="I30" s="20">
        <f t="shared" si="11"/>
        <v>0.58750000000000002</v>
      </c>
      <c r="J30" s="24">
        <v>5</v>
      </c>
      <c r="K30" s="27">
        <f t="shared" si="9"/>
        <v>825</v>
      </c>
      <c r="L30" s="222">
        <f>SUM(K30:K35)</f>
        <v>7550</v>
      </c>
      <c r="M30" s="27">
        <f t="shared" si="10"/>
        <v>2000</v>
      </c>
      <c r="N30" s="222">
        <f>SUM(M30:M35)</f>
        <v>14400</v>
      </c>
      <c r="O30" s="27">
        <f t="shared" si="2"/>
        <v>1175</v>
      </c>
      <c r="P30" s="222">
        <f>SUM(O30:O35)</f>
        <v>6850</v>
      </c>
      <c r="Q30" s="33">
        <f t="shared" si="6"/>
        <v>2.9375</v>
      </c>
      <c r="R30" s="218"/>
      <c r="Y30" s="1"/>
    </row>
    <row r="31" spans="2:25" x14ac:dyDescent="0.25">
      <c r="B31" s="220"/>
      <c r="C31" s="68">
        <v>61</v>
      </c>
      <c r="D31" s="119" t="s">
        <v>9</v>
      </c>
      <c r="E31" s="67">
        <v>235</v>
      </c>
      <c r="F31" s="67">
        <v>400</v>
      </c>
      <c r="G31" s="14">
        <f t="shared" si="7"/>
        <v>0.7021276595744681</v>
      </c>
      <c r="H31" s="13">
        <f t="shared" si="8"/>
        <v>165</v>
      </c>
      <c r="I31" s="21">
        <f t="shared" si="11"/>
        <v>0.41249999999999998</v>
      </c>
      <c r="J31" s="25">
        <v>5</v>
      </c>
      <c r="K31" s="28">
        <f t="shared" si="9"/>
        <v>1175</v>
      </c>
      <c r="L31" s="223"/>
      <c r="M31" s="28">
        <f t="shared" si="10"/>
        <v>2000</v>
      </c>
      <c r="N31" s="223"/>
      <c r="O31" s="28">
        <f t="shared" si="2"/>
        <v>825</v>
      </c>
      <c r="P31" s="223"/>
      <c r="Q31" s="33">
        <f t="shared" si="6"/>
        <v>2.0625</v>
      </c>
      <c r="R31" s="218"/>
      <c r="Y31" s="1"/>
    </row>
    <row r="32" spans="2:25" x14ac:dyDescent="0.25">
      <c r="B32" s="220"/>
      <c r="C32" s="68">
        <v>62</v>
      </c>
      <c r="D32" s="119" t="s">
        <v>9</v>
      </c>
      <c r="E32" s="67">
        <v>235</v>
      </c>
      <c r="F32" s="67">
        <v>400</v>
      </c>
      <c r="G32" s="14">
        <f t="shared" si="7"/>
        <v>0.7021276595744681</v>
      </c>
      <c r="H32" s="13">
        <f t="shared" si="8"/>
        <v>165</v>
      </c>
      <c r="I32" s="21">
        <f t="shared" si="11"/>
        <v>0.41249999999999998</v>
      </c>
      <c r="J32" s="25">
        <v>5</v>
      </c>
      <c r="K32" s="28">
        <f t="shared" si="9"/>
        <v>1175</v>
      </c>
      <c r="L32" s="223"/>
      <c r="M32" s="28">
        <f t="shared" si="10"/>
        <v>2000</v>
      </c>
      <c r="N32" s="223"/>
      <c r="O32" s="28">
        <f t="shared" si="2"/>
        <v>825</v>
      </c>
      <c r="P32" s="223"/>
      <c r="Q32" s="33">
        <f t="shared" si="6"/>
        <v>2.0625</v>
      </c>
      <c r="R32" s="218"/>
      <c r="Y32" s="18"/>
    </row>
    <row r="33" spans="2:25" x14ac:dyDescent="0.25">
      <c r="B33" s="220"/>
      <c r="C33" s="68">
        <v>63</v>
      </c>
      <c r="D33" s="119" t="s">
        <v>9</v>
      </c>
      <c r="E33" s="67">
        <v>235</v>
      </c>
      <c r="F33" s="67">
        <v>400</v>
      </c>
      <c r="G33" s="14">
        <f t="shared" si="7"/>
        <v>0.7021276595744681</v>
      </c>
      <c r="H33" s="13">
        <f t="shared" si="8"/>
        <v>165</v>
      </c>
      <c r="I33" s="21">
        <f t="shared" si="11"/>
        <v>0.41249999999999998</v>
      </c>
      <c r="J33" s="25">
        <v>5</v>
      </c>
      <c r="K33" s="28">
        <f t="shared" si="9"/>
        <v>1175</v>
      </c>
      <c r="L33" s="223"/>
      <c r="M33" s="28">
        <f t="shared" si="10"/>
        <v>2000</v>
      </c>
      <c r="N33" s="223"/>
      <c r="O33" s="28">
        <f t="shared" si="2"/>
        <v>825</v>
      </c>
      <c r="P33" s="223"/>
      <c r="Q33" s="33">
        <f t="shared" si="6"/>
        <v>2.0625</v>
      </c>
      <c r="R33" s="218"/>
      <c r="Y33" s="18"/>
    </row>
    <row r="34" spans="2:25" x14ac:dyDescent="0.25">
      <c r="B34" s="220"/>
      <c r="C34" s="68">
        <v>64</v>
      </c>
      <c r="D34" s="119" t="s">
        <v>41</v>
      </c>
      <c r="E34" s="67">
        <v>200</v>
      </c>
      <c r="F34" s="67">
        <v>400</v>
      </c>
      <c r="G34" s="14">
        <f t="shared" si="7"/>
        <v>1</v>
      </c>
      <c r="H34" s="13">
        <f t="shared" si="8"/>
        <v>200</v>
      </c>
      <c r="I34" s="21">
        <f t="shared" si="11"/>
        <v>0.5</v>
      </c>
      <c r="J34" s="25">
        <v>8</v>
      </c>
      <c r="K34" s="28">
        <f t="shared" si="9"/>
        <v>1600</v>
      </c>
      <c r="L34" s="223"/>
      <c r="M34" s="28">
        <f t="shared" si="10"/>
        <v>3200</v>
      </c>
      <c r="N34" s="223"/>
      <c r="O34" s="28">
        <f t="shared" si="2"/>
        <v>1600</v>
      </c>
      <c r="P34" s="223"/>
      <c r="Q34" s="33">
        <f t="shared" si="6"/>
        <v>4</v>
      </c>
      <c r="R34" s="218"/>
      <c r="Y34" s="18"/>
    </row>
    <row r="35" spans="2:25" ht="15.75" thickBot="1" x14ac:dyDescent="0.3">
      <c r="B35" s="221"/>
      <c r="C35" s="87">
        <v>65</v>
      </c>
      <c r="D35" s="120" t="s">
        <v>41</v>
      </c>
      <c r="E35" s="121">
        <v>200</v>
      </c>
      <c r="F35" s="121">
        <v>400</v>
      </c>
      <c r="G35" s="12">
        <f t="shared" si="7"/>
        <v>1</v>
      </c>
      <c r="H35" s="11">
        <f t="shared" si="8"/>
        <v>200</v>
      </c>
      <c r="I35" s="23">
        <f t="shared" si="11"/>
        <v>0.5</v>
      </c>
      <c r="J35" s="26">
        <v>8</v>
      </c>
      <c r="K35" s="29">
        <f t="shared" si="9"/>
        <v>1600</v>
      </c>
      <c r="L35" s="224"/>
      <c r="M35" s="29">
        <f t="shared" si="10"/>
        <v>3200</v>
      </c>
      <c r="N35" s="224"/>
      <c r="O35" s="29">
        <f t="shared" si="2"/>
        <v>1600</v>
      </c>
      <c r="P35" s="224"/>
      <c r="Q35" s="33">
        <f t="shared" si="6"/>
        <v>4</v>
      </c>
      <c r="R35" s="218"/>
      <c r="Y35" s="18"/>
    </row>
    <row r="36" spans="2:25" x14ac:dyDescent="0.25">
      <c r="I36" s="18">
        <f>SUM(I3:I35)/33</f>
        <v>0.46009813292627522</v>
      </c>
      <c r="J36" s="34">
        <f>SUM(J3:J35)</f>
        <v>297</v>
      </c>
      <c r="K36" s="1"/>
      <c r="L36" s="2">
        <f>SUM(L3:L35)</f>
        <v>65425</v>
      </c>
      <c r="M36" s="1"/>
      <c r="N36" s="2">
        <f>SUM(N3:N35)</f>
        <v>128220</v>
      </c>
      <c r="O36" s="1"/>
      <c r="P36" s="2">
        <f>SUM(P3:P35)</f>
        <v>62795</v>
      </c>
      <c r="Q36" s="33">
        <f>SUM(Q3:Q35)/J36</f>
        <v>0.47989835899828492</v>
      </c>
    </row>
    <row r="38" spans="2:25" x14ac:dyDescent="0.25">
      <c r="D38" s="136" t="s">
        <v>1</v>
      </c>
      <c r="E38" s="137">
        <v>280</v>
      </c>
      <c r="F38" s="43">
        <v>500</v>
      </c>
      <c r="G38" s="138">
        <f t="shared" ref="G38:G46" si="12">(F38-E38)/E38</f>
        <v>0.7857142857142857</v>
      </c>
      <c r="H38" s="43">
        <f t="shared" ref="H38:H46" si="13">F38-E38</f>
        <v>220</v>
      </c>
      <c r="I38" s="139">
        <f t="shared" ref="I38:I46" si="14">(F38-E38)/F38</f>
        <v>0.44</v>
      </c>
    </row>
    <row r="39" spans="2:25" x14ac:dyDescent="0.25">
      <c r="D39" s="128" t="s">
        <v>7</v>
      </c>
      <c r="E39" s="129">
        <v>300</v>
      </c>
      <c r="F39" s="5">
        <v>580</v>
      </c>
      <c r="G39" s="130">
        <f t="shared" si="12"/>
        <v>0.93333333333333335</v>
      </c>
      <c r="H39" s="5">
        <f t="shared" si="13"/>
        <v>280</v>
      </c>
      <c r="I39" s="131">
        <f t="shared" si="14"/>
        <v>0.48275862068965519</v>
      </c>
    </row>
    <row r="40" spans="2:25" x14ac:dyDescent="0.25">
      <c r="D40" s="128" t="s">
        <v>21</v>
      </c>
      <c r="E40" s="129">
        <v>300</v>
      </c>
      <c r="F40" s="5">
        <v>580</v>
      </c>
      <c r="G40" s="130">
        <f t="shared" si="12"/>
        <v>0.93333333333333335</v>
      </c>
      <c r="H40" s="5">
        <f t="shared" si="13"/>
        <v>280</v>
      </c>
      <c r="I40" s="131">
        <f t="shared" si="14"/>
        <v>0.48275862068965519</v>
      </c>
    </row>
    <row r="41" spans="2:25" x14ac:dyDescent="0.25">
      <c r="D41" s="132" t="s">
        <v>22</v>
      </c>
      <c r="E41" s="133">
        <v>370</v>
      </c>
      <c r="F41" s="37">
        <v>580</v>
      </c>
      <c r="G41" s="134">
        <f t="shared" si="12"/>
        <v>0.56756756756756754</v>
      </c>
      <c r="H41" s="37">
        <f t="shared" si="13"/>
        <v>210</v>
      </c>
      <c r="I41" s="135">
        <f t="shared" si="14"/>
        <v>0.36206896551724138</v>
      </c>
    </row>
    <row r="42" spans="2:25" x14ac:dyDescent="0.25">
      <c r="D42" s="123" t="s">
        <v>23</v>
      </c>
      <c r="E42" s="124">
        <v>165</v>
      </c>
      <c r="F42" s="125">
        <v>350</v>
      </c>
      <c r="G42" s="126">
        <f t="shared" si="12"/>
        <v>1.1212121212121211</v>
      </c>
      <c r="H42" s="125">
        <f t="shared" si="13"/>
        <v>185</v>
      </c>
      <c r="I42" s="127">
        <f t="shared" si="14"/>
        <v>0.52857142857142858</v>
      </c>
    </row>
    <row r="43" spans="2:25" x14ac:dyDescent="0.25">
      <c r="D43" s="132" t="s">
        <v>24</v>
      </c>
      <c r="E43" s="133">
        <v>385</v>
      </c>
      <c r="F43" s="37">
        <v>580</v>
      </c>
      <c r="G43" s="134">
        <f t="shared" si="12"/>
        <v>0.50649350649350644</v>
      </c>
      <c r="H43" s="37">
        <f t="shared" si="13"/>
        <v>195</v>
      </c>
      <c r="I43" s="135">
        <f t="shared" si="14"/>
        <v>0.33620689655172414</v>
      </c>
    </row>
    <row r="44" spans="2:25" x14ac:dyDescent="0.25">
      <c r="D44" s="123" t="s">
        <v>25</v>
      </c>
      <c r="E44" s="124">
        <v>240</v>
      </c>
      <c r="F44" s="125">
        <v>500</v>
      </c>
      <c r="G44" s="126">
        <f t="shared" si="12"/>
        <v>1.0833333333333333</v>
      </c>
      <c r="H44" s="125">
        <f t="shared" si="13"/>
        <v>260</v>
      </c>
      <c r="I44" s="127">
        <f t="shared" si="14"/>
        <v>0.52</v>
      </c>
    </row>
    <row r="45" spans="2:25" x14ac:dyDescent="0.25">
      <c r="D45" s="132" t="s">
        <v>26</v>
      </c>
      <c r="E45" s="133">
        <v>410</v>
      </c>
      <c r="F45" s="37">
        <v>580</v>
      </c>
      <c r="G45" s="134">
        <f t="shared" si="12"/>
        <v>0.41463414634146339</v>
      </c>
      <c r="H45" s="37">
        <f t="shared" si="13"/>
        <v>170</v>
      </c>
      <c r="I45" s="135">
        <f t="shared" si="14"/>
        <v>0.29310344827586204</v>
      </c>
    </row>
    <row r="46" spans="2:25" x14ac:dyDescent="0.25">
      <c r="D46" s="123" t="s">
        <v>56</v>
      </c>
      <c r="E46" s="124">
        <v>145</v>
      </c>
      <c r="F46" s="236">
        <v>320</v>
      </c>
      <c r="G46" s="237">
        <f t="shared" si="12"/>
        <v>1.2068965517241379</v>
      </c>
      <c r="H46" s="236">
        <f t="shared" si="13"/>
        <v>175</v>
      </c>
      <c r="I46" s="238">
        <f t="shared" si="14"/>
        <v>0.546875</v>
      </c>
    </row>
  </sheetData>
  <mergeCells count="33">
    <mergeCell ref="B24:B29"/>
    <mergeCell ref="L24:L29"/>
    <mergeCell ref="N24:N29"/>
    <mergeCell ref="P24:P29"/>
    <mergeCell ref="R24:R29"/>
    <mergeCell ref="B30:B35"/>
    <mergeCell ref="L30:L35"/>
    <mergeCell ref="N30:N35"/>
    <mergeCell ref="P30:P35"/>
    <mergeCell ref="R30:R35"/>
    <mergeCell ref="B12:B17"/>
    <mergeCell ref="L12:L17"/>
    <mergeCell ref="N12:N17"/>
    <mergeCell ref="P12:P17"/>
    <mergeCell ref="R12:R17"/>
    <mergeCell ref="B18:B23"/>
    <mergeCell ref="L18:L23"/>
    <mergeCell ref="N18:N23"/>
    <mergeCell ref="P18:P23"/>
    <mergeCell ref="R18:R23"/>
    <mergeCell ref="R3:R5"/>
    <mergeCell ref="B6:B11"/>
    <mergeCell ref="L6:L11"/>
    <mergeCell ref="N6:N11"/>
    <mergeCell ref="P6:P11"/>
    <mergeCell ref="R6:R11"/>
    <mergeCell ref="K2:L2"/>
    <mergeCell ref="M2:N2"/>
    <mergeCell ref="O2:P2"/>
    <mergeCell ref="B3:B5"/>
    <mergeCell ref="L3:L5"/>
    <mergeCell ref="N3:N5"/>
    <mergeCell ref="P3:P5"/>
  </mergeCells>
  <pageMargins left="0.7" right="0.7" top="0.75" bottom="0.75" header="0.3" footer="0.3"/>
  <pageSetup paperSize="9" orientation="portrait" r:id="rId1"/>
  <ignoredErrors>
    <ignoredError sqref="M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4"/>
  <sheetViews>
    <sheetView tabSelected="1" workbookViewId="0">
      <selection activeCell="B2" sqref="B2:E13"/>
    </sheetView>
  </sheetViews>
  <sheetFormatPr defaultRowHeight="15" x14ac:dyDescent="0.25"/>
  <cols>
    <col min="2" max="2" width="7.28515625" bestFit="1" customWidth="1"/>
    <col min="3" max="3" width="8.85546875" customWidth="1"/>
    <col min="4" max="5" width="9" customWidth="1"/>
    <col min="6" max="6" width="8.28515625" customWidth="1"/>
    <col min="7" max="7" width="7.28515625" bestFit="1" customWidth="1"/>
    <col min="8" max="8" width="19.85546875" bestFit="1" customWidth="1"/>
    <col min="9" max="9" width="7" bestFit="1" customWidth="1"/>
    <col min="10" max="10" width="6.42578125" bestFit="1" customWidth="1"/>
    <col min="11" max="11" width="8.42578125" customWidth="1"/>
    <col min="12" max="12" width="6.28515625" customWidth="1"/>
    <col min="13" max="13" width="19.85546875" bestFit="1" customWidth="1"/>
    <col min="14" max="14" width="4" customWidth="1"/>
    <col min="15" max="15" width="3" bestFit="1" customWidth="1"/>
    <col min="16" max="16" width="3.85546875" customWidth="1"/>
    <col min="17" max="17" width="4.7109375" customWidth="1"/>
    <col min="18" max="18" width="3.140625" customWidth="1"/>
    <col min="19" max="19" width="3" bestFit="1" customWidth="1"/>
    <col min="20" max="20" width="3.85546875" customWidth="1"/>
  </cols>
  <sheetData>
    <row r="1" spans="2:20" ht="15.75" thickBot="1" x14ac:dyDescent="0.3"/>
    <row r="2" spans="2:20" ht="15.75" thickBot="1" x14ac:dyDescent="0.3">
      <c r="B2" s="147"/>
      <c r="C2" s="147"/>
      <c r="D2" s="147" t="s">
        <v>57</v>
      </c>
      <c r="E2" s="147" t="str">
        <f>D2</f>
        <v>до 16:30</v>
      </c>
      <c r="F2" s="147"/>
      <c r="G2" s="227" t="s">
        <v>53</v>
      </c>
      <c r="H2" s="228"/>
      <c r="I2" s="228"/>
      <c r="J2" s="229"/>
      <c r="K2" s="172"/>
      <c r="M2" s="230" t="s">
        <v>52</v>
      </c>
      <c r="N2" s="231"/>
      <c r="O2" s="231"/>
      <c r="P2" s="231"/>
      <c r="Q2" s="231"/>
      <c r="R2" s="231"/>
      <c r="S2" s="231"/>
      <c r="T2" s="232"/>
    </row>
    <row r="3" spans="2:20" ht="15.75" thickBot="1" x14ac:dyDescent="0.3">
      <c r="B3" s="147" t="s">
        <v>47</v>
      </c>
      <c r="C3" s="147" t="s">
        <v>40</v>
      </c>
      <c r="D3" s="215" t="s">
        <v>45</v>
      </c>
      <c r="E3" s="215" t="s">
        <v>46</v>
      </c>
      <c r="F3" s="147"/>
      <c r="G3" s="206" t="s">
        <v>47</v>
      </c>
      <c r="H3" s="158" t="s">
        <v>2</v>
      </c>
      <c r="I3" s="158" t="s">
        <v>45</v>
      </c>
      <c r="J3" s="159" t="s">
        <v>46</v>
      </c>
      <c r="K3" s="201" t="s">
        <v>54</v>
      </c>
      <c r="M3" s="188" t="s">
        <v>2</v>
      </c>
      <c r="N3" s="233" t="s">
        <v>45</v>
      </c>
      <c r="O3" s="234"/>
      <c r="P3" s="235"/>
      <c r="Q3" s="189"/>
      <c r="R3" s="233" t="s">
        <v>46</v>
      </c>
      <c r="S3" s="234"/>
      <c r="T3" s="235"/>
    </row>
    <row r="4" spans="2:20" x14ac:dyDescent="0.25">
      <c r="B4" s="147">
        <f>D4+E4</f>
        <v>23</v>
      </c>
      <c r="C4" s="216">
        <v>600</v>
      </c>
      <c r="D4" s="39">
        <v>13</v>
      </c>
      <c r="E4" s="39">
        <v>10</v>
      </c>
      <c r="F4" s="147"/>
      <c r="G4" s="207">
        <f>I4+J4</f>
        <v>21.7</v>
      </c>
      <c r="H4" s="163" t="s">
        <v>48</v>
      </c>
      <c r="I4" s="164">
        <f>D6*K4</f>
        <v>10.5</v>
      </c>
      <c r="J4" s="165">
        <f>E6*K4</f>
        <v>11.2</v>
      </c>
      <c r="K4" s="202">
        <v>0.7</v>
      </c>
      <c r="L4" s="80"/>
      <c r="M4" s="177" t="s">
        <v>48</v>
      </c>
      <c r="N4" s="169">
        <f>P4-I4</f>
        <v>4.5</v>
      </c>
      <c r="O4" s="190" t="s">
        <v>55</v>
      </c>
      <c r="P4" s="191">
        <v>15</v>
      </c>
      <c r="Q4" s="181"/>
      <c r="R4" s="185">
        <f>T4-J4</f>
        <v>3.8000000000000007</v>
      </c>
      <c r="S4" s="197" t="s">
        <v>55</v>
      </c>
      <c r="T4" s="191">
        <v>15</v>
      </c>
    </row>
    <row r="5" spans="2:20" x14ac:dyDescent="0.25">
      <c r="B5" s="147">
        <f t="shared" ref="B5:B13" si="0">D5+E5</f>
        <v>12</v>
      </c>
      <c r="C5" s="217">
        <v>580</v>
      </c>
      <c r="D5" s="41">
        <v>5</v>
      </c>
      <c r="E5" s="41">
        <v>7</v>
      </c>
      <c r="F5" s="147"/>
      <c r="G5" s="208">
        <f>I5+J5</f>
        <v>6.2</v>
      </c>
      <c r="H5" s="149" t="s">
        <v>27</v>
      </c>
      <c r="I5" s="150">
        <f>D6*K5</f>
        <v>3</v>
      </c>
      <c r="J5" s="153">
        <f>E6*K5</f>
        <v>3.2</v>
      </c>
      <c r="K5" s="203">
        <v>0.2</v>
      </c>
      <c r="L5" s="80"/>
      <c r="M5" s="178" t="s">
        <v>27</v>
      </c>
      <c r="N5" s="152">
        <f>P5-I5</f>
        <v>7</v>
      </c>
      <c r="O5" s="192" t="s">
        <v>55</v>
      </c>
      <c r="P5" s="193">
        <v>10</v>
      </c>
      <c r="Q5" s="182"/>
      <c r="R5" s="186">
        <f>T5-J5</f>
        <v>6.8</v>
      </c>
      <c r="S5" s="198" t="s">
        <v>55</v>
      </c>
      <c r="T5" s="193">
        <v>10</v>
      </c>
    </row>
    <row r="6" spans="2:20" ht="15.75" thickBot="1" x14ac:dyDescent="0.3">
      <c r="B6" s="147">
        <f t="shared" si="0"/>
        <v>31</v>
      </c>
      <c r="C6" s="216">
        <v>550</v>
      </c>
      <c r="D6" s="39">
        <v>15</v>
      </c>
      <c r="E6" s="39">
        <v>16</v>
      </c>
      <c r="F6" s="147"/>
      <c r="G6" s="209">
        <f>I6+J6</f>
        <v>3.1</v>
      </c>
      <c r="H6" s="176" t="s">
        <v>39</v>
      </c>
      <c r="I6" s="174">
        <f>D6*K6</f>
        <v>1.5</v>
      </c>
      <c r="J6" s="175">
        <f>E6*K6</f>
        <v>1.6</v>
      </c>
      <c r="K6" s="203">
        <v>0.1</v>
      </c>
      <c r="L6" s="80"/>
      <c r="M6" s="178" t="s">
        <v>39</v>
      </c>
      <c r="N6" s="152">
        <f>P6-I6</f>
        <v>3.5</v>
      </c>
      <c r="O6" s="192" t="s">
        <v>55</v>
      </c>
      <c r="P6" s="193">
        <v>5</v>
      </c>
      <c r="Q6" s="182"/>
      <c r="R6" s="186">
        <f>T6-J6</f>
        <v>3.4</v>
      </c>
      <c r="S6" s="198" t="s">
        <v>55</v>
      </c>
      <c r="T6" s="193">
        <v>5</v>
      </c>
    </row>
    <row r="7" spans="2:20" ht="15.75" thickBot="1" x14ac:dyDescent="0.3">
      <c r="B7" s="147">
        <f t="shared" si="0"/>
        <v>8</v>
      </c>
      <c r="C7" s="217">
        <v>500</v>
      </c>
      <c r="D7" s="41">
        <v>4</v>
      </c>
      <c r="E7" s="41">
        <v>4</v>
      </c>
      <c r="F7" s="147"/>
      <c r="G7" s="210"/>
      <c r="H7" s="170"/>
      <c r="I7" s="171"/>
      <c r="J7" s="171"/>
      <c r="K7" s="204"/>
      <c r="L7" s="80"/>
      <c r="M7" s="178"/>
      <c r="N7" s="180"/>
      <c r="O7" s="192"/>
      <c r="P7" s="193"/>
      <c r="Q7" s="182"/>
      <c r="R7" s="187"/>
      <c r="S7" s="198"/>
      <c r="T7" s="193"/>
    </row>
    <row r="8" spans="2:20" x14ac:dyDescent="0.25">
      <c r="B8" s="147">
        <f t="shared" si="0"/>
        <v>12</v>
      </c>
      <c r="C8" s="216">
        <v>400</v>
      </c>
      <c r="D8" s="39">
        <v>5</v>
      </c>
      <c r="E8" s="39">
        <v>7</v>
      </c>
      <c r="F8" s="147"/>
      <c r="G8" s="211">
        <f>I8+J8</f>
        <v>11.5</v>
      </c>
      <c r="H8" s="160" t="s">
        <v>34</v>
      </c>
      <c r="I8" s="161">
        <f>D4*K8</f>
        <v>6.5</v>
      </c>
      <c r="J8" s="162">
        <f>E4*K8</f>
        <v>5</v>
      </c>
      <c r="K8" s="203">
        <v>0.5</v>
      </c>
      <c r="L8" s="80"/>
      <c r="M8" s="178" t="s">
        <v>34</v>
      </c>
      <c r="N8" s="152">
        <f>P8-I8</f>
        <v>8.5</v>
      </c>
      <c r="O8" s="192" t="s">
        <v>55</v>
      </c>
      <c r="P8" s="193">
        <v>15</v>
      </c>
      <c r="Q8" s="182"/>
      <c r="R8" s="186">
        <f>T8-J8</f>
        <v>10</v>
      </c>
      <c r="S8" s="198" t="s">
        <v>55</v>
      </c>
      <c r="T8" s="193">
        <v>15</v>
      </c>
    </row>
    <row r="9" spans="2:20" ht="15.75" thickBot="1" x14ac:dyDescent="0.3">
      <c r="B9" s="147">
        <f t="shared" si="0"/>
        <v>3</v>
      </c>
      <c r="C9" s="217">
        <v>350</v>
      </c>
      <c r="D9" s="41">
        <v>1</v>
      </c>
      <c r="E9" s="41">
        <v>2</v>
      </c>
      <c r="F9" s="147"/>
      <c r="G9" s="209">
        <f>I9+J9</f>
        <v>11.5</v>
      </c>
      <c r="H9" s="173" t="s">
        <v>49</v>
      </c>
      <c r="I9" s="174">
        <f>D4*K9</f>
        <v>6.5</v>
      </c>
      <c r="J9" s="175">
        <f>E4*K9</f>
        <v>5</v>
      </c>
      <c r="K9" s="203">
        <v>0.5</v>
      </c>
      <c r="L9" s="80"/>
      <c r="M9" s="178" t="s">
        <v>49</v>
      </c>
      <c r="N9" s="152">
        <f>P9-I9</f>
        <v>8.5</v>
      </c>
      <c r="O9" s="192" t="s">
        <v>55</v>
      </c>
      <c r="P9" s="193">
        <v>15</v>
      </c>
      <c r="Q9" s="182"/>
      <c r="R9" s="186">
        <f>T9-J9</f>
        <v>10</v>
      </c>
      <c r="S9" s="198" t="s">
        <v>55</v>
      </c>
      <c r="T9" s="193">
        <v>15</v>
      </c>
    </row>
    <row r="10" spans="2:20" ht="15.75" thickBot="1" x14ac:dyDescent="0.3">
      <c r="B10" s="147">
        <f t="shared" si="0"/>
        <v>1</v>
      </c>
      <c r="C10" s="216">
        <v>320</v>
      </c>
      <c r="D10" s="39"/>
      <c r="E10" s="39">
        <v>1</v>
      </c>
      <c r="F10" s="147"/>
      <c r="G10" s="212"/>
      <c r="H10" s="170"/>
      <c r="I10" s="171"/>
      <c r="J10" s="171"/>
      <c r="K10" s="204"/>
      <c r="L10" s="80"/>
      <c r="M10" s="178"/>
      <c r="N10" s="180"/>
      <c r="O10" s="192"/>
      <c r="P10" s="193"/>
      <c r="Q10" s="182"/>
      <c r="R10" s="187"/>
      <c r="S10" s="198"/>
      <c r="T10" s="193"/>
    </row>
    <row r="11" spans="2:20" x14ac:dyDescent="0.25">
      <c r="B11" s="147">
        <f t="shared" si="0"/>
        <v>20</v>
      </c>
      <c r="C11" s="217">
        <v>300</v>
      </c>
      <c r="D11" s="41">
        <v>12</v>
      </c>
      <c r="E11" s="41">
        <v>8</v>
      </c>
      <c r="F11" s="147"/>
      <c r="G11" s="211">
        <f>I11+J11</f>
        <v>9.6000000000000014</v>
      </c>
      <c r="H11" s="160" t="s">
        <v>50</v>
      </c>
      <c r="I11" s="161">
        <f>D8*K11</f>
        <v>4</v>
      </c>
      <c r="J11" s="162">
        <f>E8*K11</f>
        <v>5.6000000000000005</v>
      </c>
      <c r="K11" s="203">
        <v>0.8</v>
      </c>
      <c r="L11" s="80"/>
      <c r="M11" s="178" t="s">
        <v>50</v>
      </c>
      <c r="N11" s="152">
        <f>P11-I11</f>
        <v>21</v>
      </c>
      <c r="O11" s="192" t="s">
        <v>55</v>
      </c>
      <c r="P11" s="193">
        <v>25</v>
      </c>
      <c r="Q11" s="182"/>
      <c r="R11" s="186">
        <f>T11-J11</f>
        <v>9.3999999999999986</v>
      </c>
      <c r="S11" s="198" t="s">
        <v>55</v>
      </c>
      <c r="T11" s="193">
        <v>15</v>
      </c>
    </row>
    <row r="12" spans="2:20" ht="15.75" thickBot="1" x14ac:dyDescent="0.3">
      <c r="B12" s="147">
        <f t="shared" si="0"/>
        <v>2</v>
      </c>
      <c r="C12" s="216">
        <v>250</v>
      </c>
      <c r="D12" s="39">
        <v>1</v>
      </c>
      <c r="E12" s="39">
        <v>1</v>
      </c>
      <c r="F12" s="147"/>
      <c r="G12" s="209">
        <f>I12+J12</f>
        <v>2.4000000000000004</v>
      </c>
      <c r="H12" s="173" t="s">
        <v>10</v>
      </c>
      <c r="I12" s="174">
        <f>D8*K12</f>
        <v>1</v>
      </c>
      <c r="J12" s="175">
        <f>E8*K12</f>
        <v>1.4000000000000001</v>
      </c>
      <c r="K12" s="203">
        <v>0.2</v>
      </c>
      <c r="L12" s="80"/>
      <c r="M12" s="178" t="s">
        <v>10</v>
      </c>
      <c r="N12" s="152">
        <f>P12-I12</f>
        <v>4</v>
      </c>
      <c r="O12" s="192" t="s">
        <v>55</v>
      </c>
      <c r="P12" s="193">
        <v>5</v>
      </c>
      <c r="Q12" s="182"/>
      <c r="R12" s="186">
        <f>T12-J12</f>
        <v>3.5999999999999996</v>
      </c>
      <c r="S12" s="198" t="s">
        <v>55</v>
      </c>
      <c r="T12" s="193">
        <v>5</v>
      </c>
    </row>
    <row r="13" spans="2:20" ht="15.75" thickBot="1" x14ac:dyDescent="0.3">
      <c r="B13" s="147">
        <f t="shared" si="0"/>
        <v>4</v>
      </c>
      <c r="C13" s="217">
        <v>180</v>
      </c>
      <c r="D13" s="41"/>
      <c r="E13" s="41">
        <v>4</v>
      </c>
      <c r="F13" s="147"/>
      <c r="G13" s="212"/>
      <c r="H13" s="170"/>
      <c r="I13" s="171"/>
      <c r="J13" s="171"/>
      <c r="K13" s="204"/>
      <c r="L13" s="80"/>
      <c r="M13" s="178"/>
      <c r="N13" s="180"/>
      <c r="O13" s="192"/>
      <c r="P13" s="193"/>
      <c r="Q13" s="182"/>
      <c r="R13" s="187"/>
      <c r="S13" s="198"/>
      <c r="T13" s="193"/>
    </row>
    <row r="14" spans="2:20" x14ac:dyDescent="0.25">
      <c r="B14" s="80">
        <f>SUM(B4:B13)</f>
        <v>116</v>
      </c>
      <c r="C14" s="147"/>
      <c r="D14" s="147">
        <f>SUM(D4:D13)</f>
        <v>56</v>
      </c>
      <c r="E14" s="147">
        <f>SUM(E4:E13)</f>
        <v>60</v>
      </c>
      <c r="F14" s="147"/>
      <c r="G14" s="211">
        <f>I14+J14</f>
        <v>15</v>
      </c>
      <c r="H14" s="160" t="s">
        <v>11</v>
      </c>
      <c r="I14" s="161">
        <f>D11*K14</f>
        <v>9</v>
      </c>
      <c r="J14" s="162">
        <f>E11*K14</f>
        <v>6</v>
      </c>
      <c r="K14" s="203">
        <v>0.75</v>
      </c>
      <c r="L14" s="122"/>
      <c r="M14" s="178" t="s">
        <v>11</v>
      </c>
      <c r="N14" s="152">
        <f>P14-I14</f>
        <v>7</v>
      </c>
      <c r="O14" s="192" t="s">
        <v>55</v>
      </c>
      <c r="P14" s="193">
        <v>16</v>
      </c>
      <c r="Q14" s="182"/>
      <c r="R14" s="186">
        <f>T14-J14</f>
        <v>10</v>
      </c>
      <c r="S14" s="198" t="s">
        <v>55</v>
      </c>
      <c r="T14" s="193">
        <v>16</v>
      </c>
    </row>
    <row r="15" spans="2:20" ht="15.75" thickBot="1" x14ac:dyDescent="0.3">
      <c r="B15" s="151">
        <f>SUM(G4:G33)</f>
        <v>115.99999999999999</v>
      </c>
      <c r="C15" s="151"/>
      <c r="D15" s="151">
        <f>SUM(I4:I33)</f>
        <v>56</v>
      </c>
      <c r="E15" s="151">
        <f>SUM(J4:J33)</f>
        <v>60</v>
      </c>
      <c r="F15" s="148"/>
      <c r="G15" s="209">
        <f>I15+J15</f>
        <v>5</v>
      </c>
      <c r="H15" s="173" t="s">
        <v>51</v>
      </c>
      <c r="I15" s="174">
        <f>D11*K15</f>
        <v>3</v>
      </c>
      <c r="J15" s="175">
        <f>E11*K15</f>
        <v>2</v>
      </c>
      <c r="K15" s="203">
        <v>0.25</v>
      </c>
      <c r="L15" s="122"/>
      <c r="M15" s="178" t="s">
        <v>51</v>
      </c>
      <c r="N15" s="152">
        <f>P15-I15</f>
        <v>5</v>
      </c>
      <c r="O15" s="192" t="s">
        <v>55</v>
      </c>
      <c r="P15" s="193">
        <v>8</v>
      </c>
      <c r="Q15" s="182"/>
      <c r="R15" s="186">
        <f>T15-J15</f>
        <v>6</v>
      </c>
      <c r="S15" s="198" t="s">
        <v>55</v>
      </c>
      <c r="T15" s="193">
        <v>8</v>
      </c>
    </row>
    <row r="16" spans="2:20" ht="15.75" thickBot="1" x14ac:dyDescent="0.3">
      <c r="G16" s="212"/>
      <c r="H16" s="170"/>
      <c r="I16" s="171"/>
      <c r="J16" s="171"/>
      <c r="K16" s="204"/>
      <c r="L16" s="80"/>
      <c r="M16" s="178"/>
      <c r="N16" s="180"/>
      <c r="O16" s="192"/>
      <c r="P16" s="193"/>
      <c r="Q16" s="182"/>
      <c r="R16" s="187"/>
      <c r="S16" s="198"/>
      <c r="T16" s="193"/>
    </row>
    <row r="17" spans="3:20" x14ac:dyDescent="0.25">
      <c r="G17" s="211">
        <f>I17+J17</f>
        <v>0</v>
      </c>
      <c r="H17" s="160" t="s">
        <v>4</v>
      </c>
      <c r="I17" s="161"/>
      <c r="J17" s="162"/>
      <c r="K17" s="203"/>
      <c r="L17" s="80"/>
      <c r="M17" s="178" t="s">
        <v>4</v>
      </c>
      <c r="N17" s="180"/>
      <c r="O17" s="192" t="s">
        <v>55</v>
      </c>
      <c r="P17" s="193">
        <v>8</v>
      </c>
      <c r="Q17" s="182"/>
      <c r="R17" s="187"/>
      <c r="S17" s="198" t="s">
        <v>55</v>
      </c>
      <c r="T17" s="193">
        <v>11</v>
      </c>
    </row>
    <row r="18" spans="3:20" x14ac:dyDescent="0.25">
      <c r="G18" s="208">
        <f>I18+J18</f>
        <v>6</v>
      </c>
      <c r="H18" s="149" t="s">
        <v>7</v>
      </c>
      <c r="I18" s="150">
        <f>D5*K18</f>
        <v>2.5</v>
      </c>
      <c r="J18" s="153">
        <f>E5*K18</f>
        <v>3.5</v>
      </c>
      <c r="K18" s="203">
        <v>0.5</v>
      </c>
      <c r="L18" s="80"/>
      <c r="M18" s="178" t="s">
        <v>7</v>
      </c>
      <c r="N18" s="152">
        <f>P18-I18</f>
        <v>10.5</v>
      </c>
      <c r="O18" s="192" t="s">
        <v>55</v>
      </c>
      <c r="P18" s="193">
        <v>13</v>
      </c>
      <c r="Q18" s="182"/>
      <c r="R18" s="186">
        <f>T18-J18</f>
        <v>15.5</v>
      </c>
      <c r="S18" s="198" t="s">
        <v>55</v>
      </c>
      <c r="T18" s="193">
        <v>19</v>
      </c>
    </row>
    <row r="19" spans="3:20" ht="15.75" thickBot="1" x14ac:dyDescent="0.3">
      <c r="G19" s="209">
        <f>I19+J19</f>
        <v>6</v>
      </c>
      <c r="H19" s="173" t="s">
        <v>8</v>
      </c>
      <c r="I19" s="174">
        <f>D5*K19</f>
        <v>2.5</v>
      </c>
      <c r="J19" s="175">
        <f>E5*K19</f>
        <v>3.5</v>
      </c>
      <c r="K19" s="203">
        <v>0.5</v>
      </c>
      <c r="L19" s="80"/>
      <c r="M19" s="178" t="s">
        <v>8</v>
      </c>
      <c r="N19" s="152">
        <f>P19-I19</f>
        <v>10.5</v>
      </c>
      <c r="O19" s="192" t="s">
        <v>55</v>
      </c>
      <c r="P19" s="193">
        <v>13</v>
      </c>
      <c r="Q19" s="182"/>
      <c r="R19" s="186">
        <f>T19-J19</f>
        <v>9.5</v>
      </c>
      <c r="S19" s="198" t="s">
        <v>55</v>
      </c>
      <c r="T19" s="193">
        <v>13</v>
      </c>
    </row>
    <row r="20" spans="3:20" ht="15.75" thickBot="1" x14ac:dyDescent="0.3">
      <c r="G20" s="212"/>
      <c r="H20" s="170"/>
      <c r="I20" s="171"/>
      <c r="J20" s="171"/>
      <c r="K20" s="204"/>
      <c r="L20" s="80"/>
      <c r="M20" s="178"/>
      <c r="N20" s="180"/>
      <c r="O20" s="192"/>
      <c r="P20" s="193"/>
      <c r="Q20" s="182"/>
      <c r="R20" s="187"/>
      <c r="S20" s="198"/>
      <c r="T20" s="193"/>
    </row>
    <row r="21" spans="3:20" x14ac:dyDescent="0.25">
      <c r="C21" s="147"/>
      <c r="G21" s="211">
        <f>I21+J21</f>
        <v>0</v>
      </c>
      <c r="H21" s="160" t="s">
        <v>43</v>
      </c>
      <c r="I21" s="161"/>
      <c r="J21" s="162"/>
      <c r="K21" s="203"/>
      <c r="L21" s="80"/>
      <c r="M21" s="178" t="s">
        <v>43</v>
      </c>
      <c r="N21" s="180"/>
      <c r="O21" s="192" t="s">
        <v>55</v>
      </c>
      <c r="P21" s="193">
        <v>13</v>
      </c>
      <c r="Q21" s="182"/>
      <c r="R21" s="187"/>
      <c r="S21" s="198" t="s">
        <v>55</v>
      </c>
      <c r="T21" s="193">
        <v>19</v>
      </c>
    </row>
    <row r="22" spans="3:20" ht="15.75" thickBot="1" x14ac:dyDescent="0.3">
      <c r="C22" s="147"/>
      <c r="G22" s="209">
        <f>I22+J22</f>
        <v>8</v>
      </c>
      <c r="H22" s="173" t="s">
        <v>1</v>
      </c>
      <c r="I22" s="174">
        <f>D7*K22</f>
        <v>4</v>
      </c>
      <c r="J22" s="175">
        <f>E7*K22</f>
        <v>4</v>
      </c>
      <c r="K22" s="203">
        <v>1</v>
      </c>
      <c r="L22" s="80"/>
      <c r="M22" s="178" t="s">
        <v>1</v>
      </c>
      <c r="N22" s="152">
        <f>P22-I22</f>
        <v>9</v>
      </c>
      <c r="O22" s="192" t="s">
        <v>55</v>
      </c>
      <c r="P22" s="193">
        <v>13</v>
      </c>
      <c r="Q22" s="182"/>
      <c r="R22" s="186">
        <f>T22-J22</f>
        <v>9</v>
      </c>
      <c r="S22" s="198" t="s">
        <v>55</v>
      </c>
      <c r="T22" s="193">
        <v>13</v>
      </c>
    </row>
    <row r="23" spans="3:20" ht="15.75" thickBot="1" x14ac:dyDescent="0.3">
      <c r="C23" s="147"/>
      <c r="G23" s="212"/>
      <c r="H23" s="170"/>
      <c r="I23" s="171"/>
      <c r="J23" s="171"/>
      <c r="K23" s="204"/>
      <c r="L23" s="80"/>
      <c r="M23" s="178"/>
      <c r="N23" s="180"/>
      <c r="O23" s="192"/>
      <c r="P23" s="193"/>
      <c r="Q23" s="182"/>
      <c r="R23" s="187"/>
      <c r="S23" s="198"/>
      <c r="T23" s="193"/>
    </row>
    <row r="24" spans="3:20" x14ac:dyDescent="0.25">
      <c r="C24" s="147"/>
      <c r="G24" s="211">
        <f>I24+J24</f>
        <v>1.5</v>
      </c>
      <c r="H24" s="160" t="s">
        <v>37</v>
      </c>
      <c r="I24" s="161">
        <f>D9*K24</f>
        <v>0.5</v>
      </c>
      <c r="J24" s="162">
        <f>E9*K24</f>
        <v>1</v>
      </c>
      <c r="K24" s="203">
        <v>0.5</v>
      </c>
      <c r="L24" s="80"/>
      <c r="M24" s="178" t="s">
        <v>37</v>
      </c>
      <c r="N24" s="152">
        <f>P24-I24</f>
        <v>5.5</v>
      </c>
      <c r="O24" s="192" t="s">
        <v>55</v>
      </c>
      <c r="P24" s="193">
        <v>6</v>
      </c>
      <c r="Q24" s="182"/>
      <c r="R24" s="186">
        <f>T24-J24</f>
        <v>7</v>
      </c>
      <c r="S24" s="198" t="s">
        <v>55</v>
      </c>
      <c r="T24" s="193">
        <v>8</v>
      </c>
    </row>
    <row r="25" spans="3:20" ht="15.75" thickBot="1" x14ac:dyDescent="0.3">
      <c r="C25" s="147"/>
      <c r="G25" s="209">
        <f>I25+J25</f>
        <v>1.5</v>
      </c>
      <c r="H25" s="173" t="s">
        <v>28</v>
      </c>
      <c r="I25" s="174">
        <f>D9*K25</f>
        <v>0.5</v>
      </c>
      <c r="J25" s="175">
        <f>E9*K25</f>
        <v>1</v>
      </c>
      <c r="K25" s="203">
        <v>0.5</v>
      </c>
      <c r="L25" s="80"/>
      <c r="M25" s="178" t="s">
        <v>28</v>
      </c>
      <c r="N25" s="152">
        <f>P25-I25</f>
        <v>12.5</v>
      </c>
      <c r="O25" s="192" t="s">
        <v>55</v>
      </c>
      <c r="P25" s="193">
        <v>13</v>
      </c>
      <c r="Q25" s="182"/>
      <c r="R25" s="186">
        <f>T25-J25</f>
        <v>12</v>
      </c>
      <c r="S25" s="198" t="s">
        <v>55</v>
      </c>
      <c r="T25" s="193">
        <v>13</v>
      </c>
    </row>
    <row r="26" spans="3:20" ht="15.75" thickBot="1" x14ac:dyDescent="0.3">
      <c r="C26" s="147"/>
      <c r="G26" s="212"/>
      <c r="H26" s="170"/>
      <c r="I26" s="171"/>
      <c r="J26" s="171"/>
      <c r="K26" s="204"/>
      <c r="L26" s="80"/>
      <c r="M26" s="178"/>
      <c r="N26" s="180"/>
      <c r="O26" s="192"/>
      <c r="P26" s="193"/>
      <c r="Q26" s="182"/>
      <c r="R26" s="187"/>
      <c r="S26" s="198"/>
      <c r="T26" s="193"/>
    </row>
    <row r="27" spans="3:20" ht="15.75" thickBot="1" x14ac:dyDescent="0.3">
      <c r="C27" s="147"/>
      <c r="G27" s="213">
        <f>I27+J27</f>
        <v>1</v>
      </c>
      <c r="H27" s="166" t="s">
        <v>33</v>
      </c>
      <c r="I27" s="167">
        <f>D10*K27</f>
        <v>0</v>
      </c>
      <c r="J27" s="168">
        <f>E10*K27</f>
        <v>1</v>
      </c>
      <c r="K27" s="203">
        <v>1</v>
      </c>
      <c r="L27" s="80"/>
      <c r="M27" s="178" t="s">
        <v>33</v>
      </c>
      <c r="N27" s="152">
        <f>P27-I27</f>
        <v>13</v>
      </c>
      <c r="O27" s="192" t="s">
        <v>55</v>
      </c>
      <c r="P27" s="193">
        <v>13</v>
      </c>
      <c r="Q27" s="182"/>
      <c r="R27" s="186">
        <f>T27-J27</f>
        <v>10</v>
      </c>
      <c r="S27" s="198" t="s">
        <v>55</v>
      </c>
      <c r="T27" s="193">
        <v>11</v>
      </c>
    </row>
    <row r="28" spans="3:20" ht="15.75" thickBot="1" x14ac:dyDescent="0.3">
      <c r="C28" s="147"/>
      <c r="G28" s="212"/>
      <c r="H28" s="170"/>
      <c r="I28" s="171"/>
      <c r="J28" s="171"/>
      <c r="K28" s="204"/>
      <c r="M28" s="178"/>
      <c r="N28" s="180"/>
      <c r="O28" s="192"/>
      <c r="P28" s="194"/>
      <c r="Q28" s="183"/>
      <c r="R28" s="180"/>
      <c r="S28" s="198"/>
      <c r="T28" s="193"/>
    </row>
    <row r="29" spans="3:20" ht="15.75" thickBot="1" x14ac:dyDescent="0.3">
      <c r="C29" s="147"/>
      <c r="G29" s="213">
        <f>I29+J29</f>
        <v>2</v>
      </c>
      <c r="H29" s="166" t="s">
        <v>5</v>
      </c>
      <c r="I29" s="167">
        <f>D12*K29</f>
        <v>1</v>
      </c>
      <c r="J29" s="168">
        <f>E12*K29</f>
        <v>1</v>
      </c>
      <c r="K29" s="203">
        <v>1</v>
      </c>
      <c r="M29" s="178" t="s">
        <v>5</v>
      </c>
      <c r="N29" s="152">
        <f>P29-I29</f>
        <v>12</v>
      </c>
      <c r="O29" s="192" t="s">
        <v>55</v>
      </c>
      <c r="P29" s="194">
        <v>13</v>
      </c>
      <c r="Q29" s="183"/>
      <c r="R29" s="152">
        <f>T29-J29</f>
        <v>18</v>
      </c>
      <c r="S29" s="198" t="s">
        <v>55</v>
      </c>
      <c r="T29" s="193">
        <v>19</v>
      </c>
    </row>
    <row r="30" spans="3:20" ht="15.75" thickBot="1" x14ac:dyDescent="0.3">
      <c r="C30" s="147"/>
      <c r="G30" s="212"/>
      <c r="H30" s="170"/>
      <c r="I30" s="171"/>
      <c r="J30" s="171"/>
      <c r="K30" s="204"/>
      <c r="M30" s="178"/>
      <c r="N30" s="180"/>
      <c r="O30" s="192"/>
      <c r="P30" s="194"/>
      <c r="Q30" s="183"/>
      <c r="R30" s="180"/>
      <c r="S30" s="198"/>
      <c r="T30" s="193"/>
    </row>
    <row r="31" spans="3:20" x14ac:dyDescent="0.25">
      <c r="G31" s="211">
        <f>I31+J31</f>
        <v>0.8</v>
      </c>
      <c r="H31" s="160" t="s">
        <v>38</v>
      </c>
      <c r="I31" s="161">
        <f>D13*K31</f>
        <v>0</v>
      </c>
      <c r="J31" s="162">
        <f>E13*K31</f>
        <v>0.8</v>
      </c>
      <c r="K31" s="203">
        <v>0.2</v>
      </c>
      <c r="M31" s="178" t="s">
        <v>38</v>
      </c>
      <c r="N31" s="152">
        <f>P31-I31</f>
        <v>13</v>
      </c>
      <c r="O31" s="192" t="s">
        <v>55</v>
      </c>
      <c r="P31" s="194">
        <v>13</v>
      </c>
      <c r="Q31" s="183"/>
      <c r="R31" s="152">
        <f>T31-J31</f>
        <v>12.2</v>
      </c>
      <c r="S31" s="198" t="s">
        <v>55</v>
      </c>
      <c r="T31" s="193">
        <v>13</v>
      </c>
    </row>
    <row r="32" spans="3:20" x14ac:dyDescent="0.25">
      <c r="G32" s="208">
        <f>I32+J32</f>
        <v>1.6</v>
      </c>
      <c r="H32" s="149" t="s">
        <v>36</v>
      </c>
      <c r="I32" s="150">
        <f>D13*K32</f>
        <v>0</v>
      </c>
      <c r="J32" s="153">
        <f>E13*K32</f>
        <v>1.6</v>
      </c>
      <c r="K32" s="203">
        <v>0.4</v>
      </c>
      <c r="M32" s="178" t="s">
        <v>36</v>
      </c>
      <c r="N32" s="152">
        <f>P32-I32</f>
        <v>13</v>
      </c>
      <c r="O32" s="192" t="s">
        <v>55</v>
      </c>
      <c r="P32" s="194">
        <v>13</v>
      </c>
      <c r="Q32" s="183"/>
      <c r="R32" s="152">
        <f>T32-J32</f>
        <v>17.399999999999999</v>
      </c>
      <c r="S32" s="198" t="s">
        <v>55</v>
      </c>
      <c r="T32" s="193">
        <v>19</v>
      </c>
    </row>
    <row r="33" spans="7:20" ht="15.75" thickBot="1" x14ac:dyDescent="0.3">
      <c r="G33" s="214">
        <f>I33+J33</f>
        <v>1.6</v>
      </c>
      <c r="H33" s="155" t="s">
        <v>35</v>
      </c>
      <c r="I33" s="156">
        <f>D13*K33</f>
        <v>0</v>
      </c>
      <c r="J33" s="157">
        <f>E13*K33</f>
        <v>1.6</v>
      </c>
      <c r="K33" s="205">
        <v>0.4</v>
      </c>
      <c r="M33" s="179" t="s">
        <v>35</v>
      </c>
      <c r="N33" s="154">
        <f>P33-I33</f>
        <v>13</v>
      </c>
      <c r="O33" s="195" t="s">
        <v>55</v>
      </c>
      <c r="P33" s="196">
        <v>13</v>
      </c>
      <c r="Q33" s="184"/>
      <c r="R33" s="154">
        <f>T33-J33</f>
        <v>17.399999999999999</v>
      </c>
      <c r="S33" s="199" t="s">
        <v>55</v>
      </c>
      <c r="T33" s="200">
        <v>19</v>
      </c>
    </row>
    <row r="34" spans="7:20" x14ac:dyDescent="0.25">
      <c r="G34" s="34">
        <f>SUM(G4:G33)</f>
        <v>115.99999999999999</v>
      </c>
      <c r="I34" s="34">
        <f>SUM(I4:I33)</f>
        <v>56</v>
      </c>
      <c r="J34" s="34">
        <f>SUM(J4:J33)</f>
        <v>60</v>
      </c>
    </row>
  </sheetData>
  <mergeCells count="4">
    <mergeCell ref="G2:J2"/>
    <mergeCell ref="M2:T2"/>
    <mergeCell ref="N3:P3"/>
    <mergeCell ref="R3:T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ДОФ-1</vt:lpstr>
      <vt:lpstr>ФООР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Nursultan Karassartov</dc:creator>
  <cp:lastModifiedBy>Nursultan Karassartov</cp:lastModifiedBy>
  <dcterms:created xsi:type="dcterms:W3CDTF">2015-06-05T18:17:20Z</dcterms:created>
  <dcterms:modified xsi:type="dcterms:W3CDTF">2026-06-11T11:39:29Z</dcterms:modified>
</cp:coreProperties>
</file>